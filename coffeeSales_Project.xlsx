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chul\Desktop\"/>
    </mc:Choice>
  </mc:AlternateContent>
  <xr:revisionPtr revIDLastSave="0" documentId="8_{E9991820-CDD9-43F9-9701-3A068525FDE7}" xr6:coauthVersionLast="47" xr6:coauthVersionMax="47" xr10:uidLastSave="{00000000-0000-0000-0000-000000000000}"/>
  <bookViews>
    <workbookView xWindow="-110" yWindow="-110" windowWidth="19420" windowHeight="10300" activeTab="1" xr2:uid="{00000000-000D-0000-FFFF-FFFF00000000}"/>
  </bookViews>
  <sheets>
    <sheet name="PivotTables" sheetId="18" r:id="rId1"/>
    <sheet name="Dashboard" sheetId="19" r:id="rId2"/>
    <sheet name="orders" sheetId="17" r:id="rId3"/>
    <sheet name="customers" sheetId="13" r:id="rId4"/>
    <sheet name="products" sheetId="2" r:id="rId5"/>
  </sheets>
  <definedNames>
    <definedName name="_xlnm._FilterDatabase" localSheetId="2" hidden="1">orders!$A$1:$M$1001</definedName>
    <definedName name="_xlnm._FilterDatabase" localSheetId="4"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9"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 i="17" a="1"/>
  <c r="O3" i="17" s="1"/>
  <c r="O4" i="17" a="1"/>
  <c r="O4" i="17" s="1"/>
  <c r="O5" i="17" a="1"/>
  <c r="O5" i="17" s="1"/>
  <c r="O6" i="17" a="1"/>
  <c r="O6" i="17"/>
  <c r="O7" i="17" a="1"/>
  <c r="O7" i="17" s="1"/>
  <c r="O8" i="17" a="1"/>
  <c r="O8" i="17" s="1"/>
  <c r="O9" i="17" a="1"/>
  <c r="O9" i="17" s="1"/>
  <c r="O10" i="17" a="1"/>
  <c r="O10" i="17"/>
  <c r="O11" i="17" a="1"/>
  <c r="O11" i="17" s="1"/>
  <c r="O12" i="17" a="1"/>
  <c r="O12" i="17" s="1"/>
  <c r="O13" i="17" a="1"/>
  <c r="O13" i="17" s="1"/>
  <c r="O14" i="17" a="1"/>
  <c r="O14" i="17" s="1"/>
  <c r="O15" i="17" a="1"/>
  <c r="O15" i="17" s="1"/>
  <c r="O16" i="17" a="1"/>
  <c r="O16" i="17" s="1"/>
  <c r="O17" i="17" a="1"/>
  <c r="O17" i="17" s="1"/>
  <c r="O18" i="17" a="1"/>
  <c r="O18" i="17" s="1"/>
  <c r="O19" i="17" a="1"/>
  <c r="O19" i="17" s="1"/>
  <c r="O20" i="17" a="1"/>
  <c r="O20" i="17" s="1"/>
  <c r="O21" i="17" a="1"/>
  <c r="O21" i="17" s="1"/>
  <c r="O22" i="17" a="1"/>
  <c r="O22" i="17" s="1"/>
  <c r="O23" i="17" a="1"/>
  <c r="O23" i="17" s="1"/>
  <c r="O24" i="17" a="1"/>
  <c r="O24" i="17" s="1"/>
  <c r="O25" i="17" a="1"/>
  <c r="O25" i="17" s="1"/>
  <c r="O26" i="17" a="1"/>
  <c r="O26" i="17" s="1"/>
  <c r="O27" i="17" a="1"/>
  <c r="O27" i="17" s="1"/>
  <c r="O28" i="17" a="1"/>
  <c r="O28" i="17" s="1"/>
  <c r="O29" i="17" a="1"/>
  <c r="O29" i="17" s="1"/>
  <c r="O30" i="17" a="1"/>
  <c r="O30" i="17" s="1"/>
  <c r="O31" i="17" a="1"/>
  <c r="O31" i="17" s="1"/>
  <c r="O32" i="17" a="1"/>
  <c r="O32" i="17" s="1"/>
  <c r="O33" i="17" a="1"/>
  <c r="O33" i="17" s="1"/>
  <c r="O34" i="17" a="1"/>
  <c r="O34" i="17" s="1"/>
  <c r="O35" i="17" a="1"/>
  <c r="O35" i="17" s="1"/>
  <c r="O36" i="17" a="1"/>
  <c r="O36" i="17" s="1"/>
  <c r="O37" i="17" a="1"/>
  <c r="O37" i="17" s="1"/>
  <c r="O38" i="17" a="1"/>
  <c r="O38" i="17" s="1"/>
  <c r="O39" i="17" a="1"/>
  <c r="O39" i="17" s="1"/>
  <c r="O40" i="17" a="1"/>
  <c r="O40" i="17" s="1"/>
  <c r="O41" i="17" a="1"/>
  <c r="O41" i="17" s="1"/>
  <c r="O42" i="17" a="1"/>
  <c r="O42" i="17" s="1"/>
  <c r="O43" i="17" a="1"/>
  <c r="O43" i="17" s="1"/>
  <c r="O44" i="17" a="1"/>
  <c r="O44" i="17" s="1"/>
  <c r="O45" i="17" a="1"/>
  <c r="O45" i="17" s="1"/>
  <c r="O46" i="17" a="1"/>
  <c r="O46" i="17" s="1"/>
  <c r="O47" i="17" a="1"/>
  <c r="O47" i="17" s="1"/>
  <c r="O48" i="17" a="1"/>
  <c r="O48" i="17" s="1"/>
  <c r="O49" i="17" a="1"/>
  <c r="O49" i="17" s="1"/>
  <c r="O50" i="17" a="1"/>
  <c r="O50" i="17" s="1"/>
  <c r="O51" i="17" a="1"/>
  <c r="O51" i="17" s="1"/>
  <c r="O52" i="17" a="1"/>
  <c r="O52" i="17" s="1"/>
  <c r="O53" i="17" a="1"/>
  <c r="O53" i="17" s="1"/>
  <c r="O54" i="17" a="1"/>
  <c r="O54" i="17" s="1"/>
  <c r="O55" i="17" a="1"/>
  <c r="O55" i="17" s="1"/>
  <c r="O56" i="17" a="1"/>
  <c r="O56" i="17" s="1"/>
  <c r="O57" i="17" a="1"/>
  <c r="O57" i="17" s="1"/>
  <c r="O58" i="17" a="1"/>
  <c r="O58" i="17" s="1"/>
  <c r="O59" i="17" a="1"/>
  <c r="O59" i="17" s="1"/>
  <c r="O60" i="17" a="1"/>
  <c r="O60" i="17" s="1"/>
  <c r="O61" i="17" a="1"/>
  <c r="O61" i="17" s="1"/>
  <c r="O62" i="17" a="1"/>
  <c r="O62" i="17" s="1"/>
  <c r="O63" i="17" a="1"/>
  <c r="O63" i="17" s="1"/>
  <c r="O64" i="17" a="1"/>
  <c r="O64" i="17" s="1"/>
  <c r="O65" i="17" a="1"/>
  <c r="O65" i="17" s="1"/>
  <c r="O66" i="17" a="1"/>
  <c r="O66" i="17" s="1"/>
  <c r="O67" i="17" a="1"/>
  <c r="O67" i="17" s="1"/>
  <c r="O68" i="17" a="1"/>
  <c r="O68" i="17" s="1"/>
  <c r="O69" i="17" a="1"/>
  <c r="O69" i="17" s="1"/>
  <c r="O70" i="17" a="1"/>
  <c r="O70" i="17" s="1"/>
  <c r="O71" i="17" a="1"/>
  <c r="O71" i="17" s="1"/>
  <c r="O72" i="17" a="1"/>
  <c r="O72" i="17" s="1"/>
  <c r="O73" i="17" a="1"/>
  <c r="O73" i="17" s="1"/>
  <c r="O74" i="17" a="1"/>
  <c r="O74" i="17" s="1"/>
  <c r="O75" i="17" a="1"/>
  <c r="O75" i="17" s="1"/>
  <c r="O76" i="17" a="1"/>
  <c r="O76" i="17" s="1"/>
  <c r="O77" i="17" a="1"/>
  <c r="O77" i="17" s="1"/>
  <c r="O78" i="17" a="1"/>
  <c r="O78" i="17" s="1"/>
  <c r="O79" i="17" a="1"/>
  <c r="O79" i="17" s="1"/>
  <c r="O80" i="17" a="1"/>
  <c r="O80" i="17" s="1"/>
  <c r="O81" i="17" a="1"/>
  <c r="O81" i="17" s="1"/>
  <c r="O82" i="17" a="1"/>
  <c r="O82" i="17" s="1"/>
  <c r="O83" i="17" a="1"/>
  <c r="O83" i="17" s="1"/>
  <c r="O84" i="17" a="1"/>
  <c r="O84" i="17" s="1"/>
  <c r="O85" i="17" a="1"/>
  <c r="O85" i="17" s="1"/>
  <c r="O86" i="17" a="1"/>
  <c r="O86" i="17" s="1"/>
  <c r="O87" i="17" a="1"/>
  <c r="O87" i="17" s="1"/>
  <c r="O88" i="17" a="1"/>
  <c r="O88" i="17" s="1"/>
  <c r="O89" i="17" a="1"/>
  <c r="O89" i="17" s="1"/>
  <c r="O90" i="17" a="1"/>
  <c r="O90" i="17" s="1"/>
  <c r="O91" i="17" a="1"/>
  <c r="O91" i="17" s="1"/>
  <c r="O92" i="17" a="1"/>
  <c r="O92" i="17" s="1"/>
  <c r="O93" i="17" a="1"/>
  <c r="O93" i="17" s="1"/>
  <c r="O94" i="17" a="1"/>
  <c r="O94" i="17" s="1"/>
  <c r="O95" i="17" a="1"/>
  <c r="O95" i="17" s="1"/>
  <c r="O96" i="17" a="1"/>
  <c r="O96" i="17" s="1"/>
  <c r="O97" i="17" a="1"/>
  <c r="O97" i="17" s="1"/>
  <c r="O98" i="17" a="1"/>
  <c r="O98" i="17" s="1"/>
  <c r="O99" i="17" a="1"/>
  <c r="O99" i="17" s="1"/>
  <c r="O100" i="17" a="1"/>
  <c r="O100" i="17" s="1"/>
  <c r="O101" i="17" a="1"/>
  <c r="O101" i="17" s="1"/>
  <c r="O102" i="17" a="1"/>
  <c r="O102" i="17" s="1"/>
  <c r="O103" i="17" a="1"/>
  <c r="O103" i="17" s="1"/>
  <c r="O104" i="17" a="1"/>
  <c r="O104" i="17" s="1"/>
  <c r="O105" i="17" a="1"/>
  <c r="O105" i="17" s="1"/>
  <c r="O106" i="17" a="1"/>
  <c r="O106" i="17" s="1"/>
  <c r="O107" i="17" a="1"/>
  <c r="O107" i="17" s="1"/>
  <c r="O108" i="17" a="1"/>
  <c r="O108" i="17" s="1"/>
  <c r="O109" i="17" a="1"/>
  <c r="O109" i="17" s="1"/>
  <c r="O110" i="17" a="1"/>
  <c r="O110" i="17" s="1"/>
  <c r="O111" i="17" a="1"/>
  <c r="O111" i="17" s="1"/>
  <c r="O112" i="17" a="1"/>
  <c r="O112" i="17" s="1"/>
  <c r="O113" i="17" a="1"/>
  <c r="O113" i="17" s="1"/>
  <c r="O114" i="17" a="1"/>
  <c r="O114" i="17" s="1"/>
  <c r="O115" i="17" a="1"/>
  <c r="O115" i="17" s="1"/>
  <c r="O116" i="17" a="1"/>
  <c r="O116" i="17" s="1"/>
  <c r="O117" i="17" a="1"/>
  <c r="O117" i="17" s="1"/>
  <c r="O118" i="17" a="1"/>
  <c r="O118" i="17" s="1"/>
  <c r="O119" i="17" a="1"/>
  <c r="O119" i="17" s="1"/>
  <c r="O120" i="17" a="1"/>
  <c r="O120" i="17" s="1"/>
  <c r="O121" i="17" a="1"/>
  <c r="O121" i="17" s="1"/>
  <c r="O122" i="17" a="1"/>
  <c r="O122" i="17" s="1"/>
  <c r="O123" i="17" a="1"/>
  <c r="O123" i="17" s="1"/>
  <c r="O124" i="17" a="1"/>
  <c r="O124" i="17" s="1"/>
  <c r="O125" i="17" a="1"/>
  <c r="O125" i="17" s="1"/>
  <c r="O126" i="17" a="1"/>
  <c r="O126" i="17" s="1"/>
  <c r="O127" i="17" a="1"/>
  <c r="O127" i="17" s="1"/>
  <c r="O128" i="17" a="1"/>
  <c r="O128" i="17"/>
  <c r="O129" i="17" a="1"/>
  <c r="O129" i="17"/>
  <c r="O130" i="17" a="1"/>
  <c r="O130" i="17"/>
  <c r="O131" i="17" a="1"/>
  <c r="O131" i="17"/>
  <c r="O132" i="17" a="1"/>
  <c r="O132" i="17"/>
  <c r="O133" i="17" a="1"/>
  <c r="O133" i="17"/>
  <c r="O134" i="17" a="1"/>
  <c r="O134" i="17"/>
  <c r="O135" i="17" a="1"/>
  <c r="O135" i="17" s="1"/>
  <c r="O136" i="17" a="1"/>
  <c r="O136" i="17" s="1"/>
  <c r="O137" i="17" a="1"/>
  <c r="O137" i="17" s="1"/>
  <c r="O138" i="17" a="1"/>
  <c r="O138" i="17" s="1"/>
  <c r="O139" i="17" a="1"/>
  <c r="O139" i="17" s="1"/>
  <c r="O140" i="17" a="1"/>
  <c r="O140" i="17" s="1"/>
  <c r="O141" i="17" a="1"/>
  <c r="O141" i="17" s="1"/>
  <c r="O142" i="17" a="1"/>
  <c r="O142" i="17" s="1"/>
  <c r="O143" i="17" a="1"/>
  <c r="O143" i="17" s="1"/>
  <c r="O144" i="17" a="1"/>
  <c r="O144" i="17" s="1"/>
  <c r="O145" i="17" a="1"/>
  <c r="O145" i="17" s="1"/>
  <c r="O146" i="17" a="1"/>
  <c r="O146" i="17" s="1"/>
  <c r="O147" i="17" a="1"/>
  <c r="O147" i="17" s="1"/>
  <c r="O148" i="17" a="1"/>
  <c r="O148" i="17" s="1"/>
  <c r="O149" i="17" a="1"/>
  <c r="O149" i="17" s="1"/>
  <c r="O150" i="17" a="1"/>
  <c r="O150" i="17" s="1"/>
  <c r="O151" i="17" a="1"/>
  <c r="O151" i="17" s="1"/>
  <c r="O152" i="17" a="1"/>
  <c r="O152" i="17" s="1"/>
  <c r="O153" i="17" a="1"/>
  <c r="O153" i="17" s="1"/>
  <c r="O154" i="17" a="1"/>
  <c r="O154" i="17" s="1"/>
  <c r="O155" i="17" a="1"/>
  <c r="O155" i="17" s="1"/>
  <c r="O156" i="17" a="1"/>
  <c r="O156" i="17" s="1"/>
  <c r="O157" i="17" a="1"/>
  <c r="O157" i="17" s="1"/>
  <c r="O158" i="17" a="1"/>
  <c r="O158" i="17" s="1"/>
  <c r="O159" i="17" a="1"/>
  <c r="O159" i="17" s="1"/>
  <c r="O160" i="17" a="1"/>
  <c r="O160" i="17" s="1"/>
  <c r="O161" i="17" a="1"/>
  <c r="O161" i="17" s="1"/>
  <c r="O162" i="17" a="1"/>
  <c r="O162" i="17" s="1"/>
  <c r="O163" i="17" a="1"/>
  <c r="O163" i="17" s="1"/>
  <c r="O164" i="17" a="1"/>
  <c r="O164" i="17" s="1"/>
  <c r="O165" i="17" a="1"/>
  <c r="O165" i="17" s="1"/>
  <c r="O166" i="17" a="1"/>
  <c r="O166" i="17" s="1"/>
  <c r="O167" i="17" a="1"/>
  <c r="O167" i="17" s="1"/>
  <c r="O168" i="17" a="1"/>
  <c r="O168" i="17" s="1"/>
  <c r="O169" i="17" a="1"/>
  <c r="O169" i="17" s="1"/>
  <c r="O170" i="17" a="1"/>
  <c r="O170" i="17" s="1"/>
  <c r="O171" i="17" a="1"/>
  <c r="O171" i="17" s="1"/>
  <c r="O172" i="17" a="1"/>
  <c r="O172" i="17" s="1"/>
  <c r="O173" i="17" a="1"/>
  <c r="O173" i="17" s="1"/>
  <c r="O174" i="17" a="1"/>
  <c r="O174" i="17" s="1"/>
  <c r="O175" i="17" a="1"/>
  <c r="O175" i="17" s="1"/>
  <c r="O176" i="17" a="1"/>
  <c r="O176" i="17" s="1"/>
  <c r="O177" i="17" a="1"/>
  <c r="O177" i="17" s="1"/>
  <c r="O178" i="17" a="1"/>
  <c r="O178" i="17" s="1"/>
  <c r="O179" i="17" a="1"/>
  <c r="O179" i="17" s="1"/>
  <c r="O180" i="17" a="1"/>
  <c r="O180" i="17" s="1"/>
  <c r="O181" i="17" a="1"/>
  <c r="O181" i="17" s="1"/>
  <c r="O182" i="17" a="1"/>
  <c r="O182" i="17" s="1"/>
  <c r="O183" i="17" a="1"/>
  <c r="O183" i="17" s="1"/>
  <c r="O184" i="17" a="1"/>
  <c r="O184" i="17" s="1"/>
  <c r="O185" i="17" a="1"/>
  <c r="O185" i="17" s="1"/>
  <c r="O186" i="17" a="1"/>
  <c r="O186" i="17" s="1"/>
  <c r="O187" i="17" a="1"/>
  <c r="O187" i="17" s="1"/>
  <c r="O188" i="17" a="1"/>
  <c r="O188" i="17" s="1"/>
  <c r="O189" i="17" a="1"/>
  <c r="O189" i="17" s="1"/>
  <c r="O190" i="17" a="1"/>
  <c r="O190" i="17" s="1"/>
  <c r="O191" i="17" a="1"/>
  <c r="O191" i="17" s="1"/>
  <c r="O192" i="17" a="1"/>
  <c r="O192" i="17" s="1"/>
  <c r="O193" i="17" a="1"/>
  <c r="O193" i="17" s="1"/>
  <c r="O194" i="17" a="1"/>
  <c r="O194" i="17" s="1"/>
  <c r="O195" i="17" a="1"/>
  <c r="O195" i="17" s="1"/>
  <c r="O196" i="17" a="1"/>
  <c r="O196" i="17" s="1"/>
  <c r="O197" i="17" a="1"/>
  <c r="O197" i="17" s="1"/>
  <c r="O198" i="17" a="1"/>
  <c r="O198" i="17" s="1"/>
  <c r="O199" i="17" a="1"/>
  <c r="O199" i="17" s="1"/>
  <c r="O200" i="17" a="1"/>
  <c r="O200" i="17" s="1"/>
  <c r="O201" i="17" a="1"/>
  <c r="O201" i="17" s="1"/>
  <c r="O202" i="17" a="1"/>
  <c r="O202" i="17" s="1"/>
  <c r="O203" i="17" a="1"/>
  <c r="O203" i="17" s="1"/>
  <c r="O204" i="17" a="1"/>
  <c r="O204" i="17" s="1"/>
  <c r="O205" i="17" a="1"/>
  <c r="O205" i="17" s="1"/>
  <c r="O206" i="17" a="1"/>
  <c r="O206" i="17" s="1"/>
  <c r="O207" i="17" a="1"/>
  <c r="O207" i="17" s="1"/>
  <c r="O208" i="17" a="1"/>
  <c r="O208" i="17" s="1"/>
  <c r="O209" i="17" a="1"/>
  <c r="O209" i="17" s="1"/>
  <c r="O210" i="17" a="1"/>
  <c r="O210" i="17" s="1"/>
  <c r="O211" i="17" a="1"/>
  <c r="O211" i="17" s="1"/>
  <c r="O212" i="17" a="1"/>
  <c r="O212" i="17" s="1"/>
  <c r="O213" i="17" a="1"/>
  <c r="O213" i="17" s="1"/>
  <c r="O214" i="17" a="1"/>
  <c r="O214" i="17" s="1"/>
  <c r="O215" i="17" a="1"/>
  <c r="O215" i="17" s="1"/>
  <c r="O216" i="17" a="1"/>
  <c r="O216" i="17" s="1"/>
  <c r="O217" i="17" a="1"/>
  <c r="O217" i="17" s="1"/>
  <c r="O218" i="17" a="1"/>
  <c r="O218" i="17" s="1"/>
  <c r="O219" i="17" a="1"/>
  <c r="O219" i="17" s="1"/>
  <c r="O220" i="17" a="1"/>
  <c r="O220" i="17" s="1"/>
  <c r="O221" i="17" a="1"/>
  <c r="O221" i="17" s="1"/>
  <c r="O222" i="17" a="1"/>
  <c r="O222" i="17" s="1"/>
  <c r="O223" i="17" a="1"/>
  <c r="O223" i="17" s="1"/>
  <c r="O224" i="17" a="1"/>
  <c r="O224" i="17" s="1"/>
  <c r="O225" i="17" a="1"/>
  <c r="O225" i="17" s="1"/>
  <c r="O226" i="17" a="1"/>
  <c r="O226" i="17" s="1"/>
  <c r="O227" i="17" a="1"/>
  <c r="O227" i="17" s="1"/>
  <c r="O228" i="17" a="1"/>
  <c r="O228" i="17" s="1"/>
  <c r="O229" i="17" a="1"/>
  <c r="O229" i="17" s="1"/>
  <c r="O230" i="17" a="1"/>
  <c r="O230" i="17" s="1"/>
  <c r="O231" i="17" a="1"/>
  <c r="O231" i="17" s="1"/>
  <c r="O232" i="17" a="1"/>
  <c r="O232" i="17" s="1"/>
  <c r="O233" i="17" a="1"/>
  <c r="O233" i="17" s="1"/>
  <c r="O234" i="17" a="1"/>
  <c r="O234" i="17" s="1"/>
  <c r="O235" i="17" a="1"/>
  <c r="O235" i="17" s="1"/>
  <c r="O236" i="17" a="1"/>
  <c r="O236" i="17" s="1"/>
  <c r="O237" i="17" a="1"/>
  <c r="O237" i="17" s="1"/>
  <c r="O238" i="17" a="1"/>
  <c r="O238" i="17" s="1"/>
  <c r="O239" i="17" a="1"/>
  <c r="O239" i="17" s="1"/>
  <c r="O240" i="17" a="1"/>
  <c r="O240" i="17" s="1"/>
  <c r="O241" i="17" a="1"/>
  <c r="O241" i="17" s="1"/>
  <c r="O242" i="17" a="1"/>
  <c r="O242" i="17" s="1"/>
  <c r="O243" i="17" a="1"/>
  <c r="O243" i="17" s="1"/>
  <c r="O244" i="17" a="1"/>
  <c r="O244" i="17" s="1"/>
  <c r="O245" i="17" a="1"/>
  <c r="O245" i="17" s="1"/>
  <c r="O246" i="17" a="1"/>
  <c r="O246" i="17" s="1"/>
  <c r="O247" i="17" a="1"/>
  <c r="O247" i="17" s="1"/>
  <c r="O248" i="17" a="1"/>
  <c r="O248" i="17" s="1"/>
  <c r="O249" i="17" a="1"/>
  <c r="O249" i="17" s="1"/>
  <c r="O250" i="17" a="1"/>
  <c r="O250" i="17" s="1"/>
  <c r="O251" i="17" a="1"/>
  <c r="O251" i="17" s="1"/>
  <c r="O252" i="17" a="1"/>
  <c r="O252" i="17" s="1"/>
  <c r="O253" i="17" a="1"/>
  <c r="O253" i="17" s="1"/>
  <c r="O254" i="17" a="1"/>
  <c r="O254" i="17" s="1"/>
  <c r="O255" i="17" a="1"/>
  <c r="O255" i="17" s="1"/>
  <c r="O256" i="17" a="1"/>
  <c r="O256" i="17" s="1"/>
  <c r="O257" i="17" a="1"/>
  <c r="O257" i="17" s="1"/>
  <c r="O258" i="17" a="1"/>
  <c r="O258" i="17" s="1"/>
  <c r="O259" i="17" a="1"/>
  <c r="O259" i="17" s="1"/>
  <c r="O260" i="17" a="1"/>
  <c r="O260" i="17" s="1"/>
  <c r="O261" i="17" a="1"/>
  <c r="O261" i="17" s="1"/>
  <c r="O262" i="17" a="1"/>
  <c r="O262" i="17" s="1"/>
  <c r="O263" i="17" a="1"/>
  <c r="O263" i="17" s="1"/>
  <c r="O264" i="17" a="1"/>
  <c r="O264" i="17" s="1"/>
  <c r="O265" i="17" a="1"/>
  <c r="O265" i="17" s="1"/>
  <c r="O266" i="17" a="1"/>
  <c r="O266" i="17" s="1"/>
  <c r="O267" i="17" a="1"/>
  <c r="O267" i="17" s="1"/>
  <c r="O268" i="17" a="1"/>
  <c r="O268" i="17" s="1"/>
  <c r="O269" i="17" a="1"/>
  <c r="O269" i="17" s="1"/>
  <c r="O270" i="17" a="1"/>
  <c r="O270" i="17" s="1"/>
  <c r="O271" i="17" a="1"/>
  <c r="O271" i="17" s="1"/>
  <c r="O272" i="17" a="1"/>
  <c r="O272" i="17" s="1"/>
  <c r="O273" i="17" a="1"/>
  <c r="O273" i="17" s="1"/>
  <c r="O274" i="17" a="1"/>
  <c r="O274" i="17" s="1"/>
  <c r="O275" i="17" a="1"/>
  <c r="O275" i="17" s="1"/>
  <c r="O276" i="17" a="1"/>
  <c r="O276" i="17" s="1"/>
  <c r="O277" i="17" a="1"/>
  <c r="O277" i="17" s="1"/>
  <c r="O278" i="17" a="1"/>
  <c r="O278" i="17" s="1"/>
  <c r="O279" i="17" a="1"/>
  <c r="O279" i="17" s="1"/>
  <c r="O280" i="17" a="1"/>
  <c r="O280" i="17" s="1"/>
  <c r="O281" i="17" a="1"/>
  <c r="O281" i="17" s="1"/>
  <c r="O282" i="17" a="1"/>
  <c r="O282" i="17" s="1"/>
  <c r="O283" i="17" a="1"/>
  <c r="O283" i="17" s="1"/>
  <c r="O284" i="17" a="1"/>
  <c r="O284" i="17" s="1"/>
  <c r="O285" i="17" a="1"/>
  <c r="O285" i="17" s="1"/>
  <c r="O286" i="17" a="1"/>
  <c r="O286" i="17" s="1"/>
  <c r="O287" i="17" a="1"/>
  <c r="O287" i="17" s="1"/>
  <c r="O288" i="17" a="1"/>
  <c r="O288" i="17" s="1"/>
  <c r="O289" i="17" a="1"/>
  <c r="O289" i="17" s="1"/>
  <c r="O290" i="17" a="1"/>
  <c r="O290" i="17" s="1"/>
  <c r="O291" i="17" a="1"/>
  <c r="O291" i="17" s="1"/>
  <c r="O292" i="17" a="1"/>
  <c r="O292" i="17" s="1"/>
  <c r="O293" i="17" a="1"/>
  <c r="O293" i="17" s="1"/>
  <c r="O294" i="17" a="1"/>
  <c r="O294" i="17" s="1"/>
  <c r="O295" i="17" a="1"/>
  <c r="O295" i="17" s="1"/>
  <c r="O296" i="17" a="1"/>
  <c r="O296" i="17" s="1"/>
  <c r="O297" i="17" a="1"/>
  <c r="O297" i="17" s="1"/>
  <c r="O298" i="17" a="1"/>
  <c r="O298" i="17" s="1"/>
  <c r="O299" i="17" a="1"/>
  <c r="O299" i="17" s="1"/>
  <c r="O300" i="17" a="1"/>
  <c r="O300" i="17" s="1"/>
  <c r="O301" i="17" a="1"/>
  <c r="O301" i="17" s="1"/>
  <c r="O302" i="17" a="1"/>
  <c r="O302" i="17" s="1"/>
  <c r="O303" i="17" a="1"/>
  <c r="O303" i="17" s="1"/>
  <c r="O304" i="17" a="1"/>
  <c r="O304" i="17" s="1"/>
  <c r="O305" i="17" a="1"/>
  <c r="O305" i="17" s="1"/>
  <c r="O306" i="17" a="1"/>
  <c r="O306" i="17" s="1"/>
  <c r="O307" i="17" a="1"/>
  <c r="O307" i="17" s="1"/>
  <c r="O308" i="17" a="1"/>
  <c r="O308" i="17" s="1"/>
  <c r="O309" i="17" a="1"/>
  <c r="O309" i="17" s="1"/>
  <c r="O310" i="17" a="1"/>
  <c r="O310" i="17" s="1"/>
  <c r="O311" i="17" a="1"/>
  <c r="O311" i="17" s="1"/>
  <c r="O312" i="17" a="1"/>
  <c r="O312" i="17" s="1"/>
  <c r="O313" i="17" a="1"/>
  <c r="O313" i="17" s="1"/>
  <c r="O314" i="17" a="1"/>
  <c r="O314" i="17" s="1"/>
  <c r="O315" i="17" a="1"/>
  <c r="O315" i="17" s="1"/>
  <c r="O316" i="17" a="1"/>
  <c r="O316" i="17" s="1"/>
  <c r="O317" i="17" a="1"/>
  <c r="O317" i="17" s="1"/>
  <c r="O318" i="17" a="1"/>
  <c r="O318" i="17" s="1"/>
  <c r="O319" i="17" a="1"/>
  <c r="O319" i="17" s="1"/>
  <c r="O320" i="17" a="1"/>
  <c r="O320" i="17" s="1"/>
  <c r="O321" i="17" a="1"/>
  <c r="O321" i="17" s="1"/>
  <c r="O322" i="17" a="1"/>
  <c r="O322" i="17" s="1"/>
  <c r="O323" i="17" a="1"/>
  <c r="O323" i="17" s="1"/>
  <c r="O324" i="17" a="1"/>
  <c r="O324" i="17" s="1"/>
  <c r="O325" i="17" a="1"/>
  <c r="O325" i="17" s="1"/>
  <c r="O326" i="17" a="1"/>
  <c r="O326" i="17" s="1"/>
  <c r="O327" i="17" a="1"/>
  <c r="O327" i="17" s="1"/>
  <c r="O328" i="17" a="1"/>
  <c r="O328" i="17" s="1"/>
  <c r="O329" i="17" a="1"/>
  <c r="O329" i="17" s="1"/>
  <c r="O330" i="17" a="1"/>
  <c r="O330" i="17" s="1"/>
  <c r="O331" i="17" a="1"/>
  <c r="O331" i="17" s="1"/>
  <c r="O332" i="17" a="1"/>
  <c r="O332" i="17" s="1"/>
  <c r="O333" i="17" a="1"/>
  <c r="O333" i="17" s="1"/>
  <c r="O334" i="17" a="1"/>
  <c r="O334" i="17" s="1"/>
  <c r="O335" i="17" a="1"/>
  <c r="O335" i="17" s="1"/>
  <c r="O336" i="17" a="1"/>
  <c r="O336" i="17" s="1"/>
  <c r="O337" i="17" a="1"/>
  <c r="O337" i="17" s="1"/>
  <c r="O338" i="17" a="1"/>
  <c r="O338" i="17" s="1"/>
  <c r="O339" i="17" a="1"/>
  <c r="O339" i="17" s="1"/>
  <c r="O340" i="17" a="1"/>
  <c r="O340" i="17" s="1"/>
  <c r="O341" i="17" a="1"/>
  <c r="O341" i="17" s="1"/>
  <c r="O342" i="17" a="1"/>
  <c r="O342" i="17" s="1"/>
  <c r="O343" i="17" a="1"/>
  <c r="O343" i="17" s="1"/>
  <c r="O344" i="17" a="1"/>
  <c r="O344" i="17" s="1"/>
  <c r="O345" i="17" a="1"/>
  <c r="O345" i="17" s="1"/>
  <c r="O346" i="17" a="1"/>
  <c r="O346" i="17" s="1"/>
  <c r="O347" i="17" a="1"/>
  <c r="O347" i="17" s="1"/>
  <c r="O348" i="17" a="1"/>
  <c r="O348" i="17" s="1"/>
  <c r="O349" i="17" a="1"/>
  <c r="O349" i="17" s="1"/>
  <c r="O350" i="17" a="1"/>
  <c r="O350" i="17" s="1"/>
  <c r="O351" i="17" a="1"/>
  <c r="O351" i="17" s="1"/>
  <c r="O352" i="17" a="1"/>
  <c r="O352" i="17" s="1"/>
  <c r="O353" i="17" a="1"/>
  <c r="O353" i="17" s="1"/>
  <c r="O354" i="17" a="1"/>
  <c r="O354" i="17" s="1"/>
  <c r="O355" i="17" a="1"/>
  <c r="O355" i="17" s="1"/>
  <c r="O356" i="17" a="1"/>
  <c r="O356" i="17" s="1"/>
  <c r="O357" i="17" a="1"/>
  <c r="O357" i="17" s="1"/>
  <c r="O358" i="17" a="1"/>
  <c r="O358" i="17" s="1"/>
  <c r="O359" i="17" a="1"/>
  <c r="O359" i="17" s="1"/>
  <c r="O360" i="17" a="1"/>
  <c r="O360" i="17" s="1"/>
  <c r="O361" i="17" a="1"/>
  <c r="O361" i="17" s="1"/>
  <c r="O362" i="17" a="1"/>
  <c r="O362" i="17" s="1"/>
  <c r="O363" i="17" a="1"/>
  <c r="O363" i="17" s="1"/>
  <c r="O364" i="17" a="1"/>
  <c r="O364" i="17" s="1"/>
  <c r="O365" i="17" a="1"/>
  <c r="O365" i="17" s="1"/>
  <c r="O366" i="17" a="1"/>
  <c r="O366" i="17" s="1"/>
  <c r="O367" i="17" a="1"/>
  <c r="O367" i="17" s="1"/>
  <c r="O368" i="17" a="1"/>
  <c r="O368" i="17" s="1"/>
  <c r="O369" i="17" a="1"/>
  <c r="O369" i="17" s="1"/>
  <c r="O370" i="17" a="1"/>
  <c r="O370" i="17" s="1"/>
  <c r="O371" i="17" a="1"/>
  <c r="O371" i="17" s="1"/>
  <c r="O372" i="17" a="1"/>
  <c r="O372" i="17" s="1"/>
  <c r="O373" i="17" a="1"/>
  <c r="O373" i="17" s="1"/>
  <c r="O374" i="17" a="1"/>
  <c r="O374" i="17" s="1"/>
  <c r="O375" i="17" a="1"/>
  <c r="O375" i="17" s="1"/>
  <c r="O376" i="17" a="1"/>
  <c r="O376" i="17" s="1"/>
  <c r="O377" i="17" a="1"/>
  <c r="O377" i="17" s="1"/>
  <c r="O378" i="17" a="1"/>
  <c r="O378" i="17" s="1"/>
  <c r="O379" i="17" a="1"/>
  <c r="O379" i="17" s="1"/>
  <c r="O380" i="17" a="1"/>
  <c r="O380" i="17" s="1"/>
  <c r="O381" i="17" a="1"/>
  <c r="O381" i="17" s="1"/>
  <c r="O382" i="17" a="1"/>
  <c r="O382" i="17" s="1"/>
  <c r="O383" i="17" a="1"/>
  <c r="O383" i="17" s="1"/>
  <c r="O384" i="17" a="1"/>
  <c r="O384" i="17" s="1"/>
  <c r="O385" i="17" a="1"/>
  <c r="O385" i="17" s="1"/>
  <c r="O386" i="17" a="1"/>
  <c r="O386" i="17" s="1"/>
  <c r="O387" i="17" a="1"/>
  <c r="O387" i="17" s="1"/>
  <c r="O388" i="17" a="1"/>
  <c r="O388" i="17" s="1"/>
  <c r="O389" i="17" a="1"/>
  <c r="O389" i="17" s="1"/>
  <c r="O390" i="17" a="1"/>
  <c r="O390" i="17" s="1"/>
  <c r="O391" i="17" a="1"/>
  <c r="O391" i="17" s="1"/>
  <c r="O392" i="17" a="1"/>
  <c r="O392" i="17" s="1"/>
  <c r="O393" i="17" a="1"/>
  <c r="O393" i="17" s="1"/>
  <c r="O394" i="17" a="1"/>
  <c r="O394" i="17" s="1"/>
  <c r="O395" i="17" a="1"/>
  <c r="O395" i="17" s="1"/>
  <c r="O396" i="17" a="1"/>
  <c r="O396" i="17" s="1"/>
  <c r="O397" i="17" a="1"/>
  <c r="O397" i="17" s="1"/>
  <c r="O398" i="17" a="1"/>
  <c r="O398" i="17" s="1"/>
  <c r="O399" i="17" a="1"/>
  <c r="O399" i="17" s="1"/>
  <c r="O400" i="17" a="1"/>
  <c r="O400" i="17" s="1"/>
  <c r="O401" i="17" a="1"/>
  <c r="O401" i="17" s="1"/>
  <c r="O402" i="17" a="1"/>
  <c r="O402" i="17" s="1"/>
  <c r="O403" i="17" a="1"/>
  <c r="O403" i="17" s="1"/>
  <c r="O404" i="17" a="1"/>
  <c r="O404" i="17" s="1"/>
  <c r="O405" i="17" a="1"/>
  <c r="O405" i="17" s="1"/>
  <c r="O406" i="17" a="1"/>
  <c r="O406" i="17" s="1"/>
  <c r="O407" i="17" a="1"/>
  <c r="O407" i="17" s="1"/>
  <c r="O408" i="17" a="1"/>
  <c r="O408" i="17" s="1"/>
  <c r="O409" i="17" a="1"/>
  <c r="O409" i="17" s="1"/>
  <c r="O410" i="17" a="1"/>
  <c r="O410" i="17" s="1"/>
  <c r="O411" i="17" a="1"/>
  <c r="O411" i="17" s="1"/>
  <c r="O412" i="17" a="1"/>
  <c r="O412" i="17" s="1"/>
  <c r="O413" i="17" a="1"/>
  <c r="O413" i="17" s="1"/>
  <c r="O414" i="17" a="1"/>
  <c r="O414" i="17" s="1"/>
  <c r="O415" i="17" a="1"/>
  <c r="O415" i="17" s="1"/>
  <c r="O416" i="17" a="1"/>
  <c r="O416" i="17" s="1"/>
  <c r="O417" i="17" a="1"/>
  <c r="O417" i="17" s="1"/>
  <c r="O418" i="17" a="1"/>
  <c r="O418" i="17" s="1"/>
  <c r="O419" i="17" a="1"/>
  <c r="O419" i="17" s="1"/>
  <c r="O420" i="17" a="1"/>
  <c r="O420" i="17" s="1"/>
  <c r="O421" i="17" a="1"/>
  <c r="O421" i="17" s="1"/>
  <c r="O422" i="17" a="1"/>
  <c r="O422" i="17" s="1"/>
  <c r="O423" i="17" a="1"/>
  <c r="O423" i="17" s="1"/>
  <c r="O424" i="17" a="1"/>
  <c r="O424" i="17" s="1"/>
  <c r="O425" i="17" a="1"/>
  <c r="O425" i="17" s="1"/>
  <c r="O426" i="17" a="1"/>
  <c r="O426" i="17" s="1"/>
  <c r="O427" i="17" a="1"/>
  <c r="O427" i="17" s="1"/>
  <c r="O428" i="17" a="1"/>
  <c r="O428" i="17" s="1"/>
  <c r="O429" i="17" a="1"/>
  <c r="O429" i="17" s="1"/>
  <c r="O430" i="17" a="1"/>
  <c r="O430" i="17" s="1"/>
  <c r="O431" i="17" a="1"/>
  <c r="O431" i="17" s="1"/>
  <c r="O432" i="17" a="1"/>
  <c r="O432" i="17" s="1"/>
  <c r="O433" i="17" a="1"/>
  <c r="O433" i="17" s="1"/>
  <c r="O434" i="17" a="1"/>
  <c r="O434" i="17" s="1"/>
  <c r="O435" i="17" a="1"/>
  <c r="O435" i="17" s="1"/>
  <c r="O436" i="17" a="1"/>
  <c r="O436" i="17" s="1"/>
  <c r="O437" i="17" a="1"/>
  <c r="O437" i="17" s="1"/>
  <c r="O438" i="17" a="1"/>
  <c r="O438" i="17" s="1"/>
  <c r="O439" i="17" a="1"/>
  <c r="O439" i="17" s="1"/>
  <c r="O440" i="17" a="1"/>
  <c r="O440" i="17" s="1"/>
  <c r="O441" i="17" a="1"/>
  <c r="O441" i="17" s="1"/>
  <c r="O442" i="17" a="1"/>
  <c r="O442" i="17" s="1"/>
  <c r="O443" i="17" a="1"/>
  <c r="O443" i="17" s="1"/>
  <c r="O444" i="17" a="1"/>
  <c r="O444" i="17" s="1"/>
  <c r="O445" i="17" a="1"/>
  <c r="O445" i="17" s="1"/>
  <c r="O446" i="17" a="1"/>
  <c r="O446" i="17" s="1"/>
  <c r="O447" i="17" a="1"/>
  <c r="O447" i="17" s="1"/>
  <c r="O448" i="17" a="1"/>
  <c r="O448" i="17" s="1"/>
  <c r="O449" i="17" a="1"/>
  <c r="O449" i="17" s="1"/>
  <c r="O450" i="17" a="1"/>
  <c r="O450" i="17" s="1"/>
  <c r="O451" i="17" a="1"/>
  <c r="O451" i="17" s="1"/>
  <c r="O452" i="17" a="1"/>
  <c r="O452" i="17" s="1"/>
  <c r="O453" i="17" a="1"/>
  <c r="O453" i="17" s="1"/>
  <c r="O454" i="17" a="1"/>
  <c r="O454" i="17" s="1"/>
  <c r="O455" i="17" a="1"/>
  <c r="O455" i="17" s="1"/>
  <c r="O456" i="17" a="1"/>
  <c r="O456" i="17" s="1"/>
  <c r="O457" i="17" a="1"/>
  <c r="O457" i="17" s="1"/>
  <c r="O458" i="17" a="1"/>
  <c r="O458" i="17" s="1"/>
  <c r="O459" i="17" a="1"/>
  <c r="O459" i="17" s="1"/>
  <c r="O460" i="17" a="1"/>
  <c r="O460" i="17" s="1"/>
  <c r="O461" i="17" a="1"/>
  <c r="O461" i="17" s="1"/>
  <c r="O462" i="17" a="1"/>
  <c r="O462" i="17" s="1"/>
  <c r="O463" i="17" a="1"/>
  <c r="O463" i="17" s="1"/>
  <c r="O464" i="17" a="1"/>
  <c r="O464" i="17" s="1"/>
  <c r="O465" i="17" a="1"/>
  <c r="O465" i="17" s="1"/>
  <c r="O466" i="17" a="1"/>
  <c r="O466" i="17" s="1"/>
  <c r="O467" i="17" a="1"/>
  <c r="O467" i="17" s="1"/>
  <c r="O468" i="17" a="1"/>
  <c r="O468" i="17" s="1"/>
  <c r="O469" i="17" a="1"/>
  <c r="O469" i="17" s="1"/>
  <c r="O470" i="17" a="1"/>
  <c r="O470" i="17" s="1"/>
  <c r="O471" i="17" a="1"/>
  <c r="O471" i="17" s="1"/>
  <c r="O472" i="17" a="1"/>
  <c r="O472" i="17" s="1"/>
  <c r="O473" i="17" a="1"/>
  <c r="O473" i="17" s="1"/>
  <c r="O474" i="17" a="1"/>
  <c r="O474" i="17" s="1"/>
  <c r="O475" i="17" a="1"/>
  <c r="O475" i="17" s="1"/>
  <c r="O476" i="17" a="1"/>
  <c r="O476" i="17" s="1"/>
  <c r="O477" i="17" a="1"/>
  <c r="O477" i="17" s="1"/>
  <c r="O478" i="17" a="1"/>
  <c r="O478" i="17" s="1"/>
  <c r="O479" i="17" a="1"/>
  <c r="O479" i="17" s="1"/>
  <c r="O480" i="17" a="1"/>
  <c r="O480" i="17" s="1"/>
  <c r="O481" i="17" a="1"/>
  <c r="O481" i="17" s="1"/>
  <c r="O482" i="17" a="1"/>
  <c r="O482" i="17" s="1"/>
  <c r="O483" i="17" a="1"/>
  <c r="O483" i="17" s="1"/>
  <c r="O484" i="17" a="1"/>
  <c r="O484" i="17" s="1"/>
  <c r="O485" i="17" a="1"/>
  <c r="O485" i="17" s="1"/>
  <c r="O486" i="17" a="1"/>
  <c r="O486" i="17" s="1"/>
  <c r="O487" i="17" a="1"/>
  <c r="O487" i="17" s="1"/>
  <c r="O488" i="17" a="1"/>
  <c r="O488" i="17" s="1"/>
  <c r="O489" i="17" a="1"/>
  <c r="O489" i="17" s="1"/>
  <c r="O490" i="17" a="1"/>
  <c r="O490" i="17" s="1"/>
  <c r="O491" i="17" a="1"/>
  <c r="O491" i="17" s="1"/>
  <c r="O492" i="17" a="1"/>
  <c r="O492" i="17" s="1"/>
  <c r="O493" i="17" a="1"/>
  <c r="O493" i="17" s="1"/>
  <c r="O494" i="17" a="1"/>
  <c r="O494" i="17" s="1"/>
  <c r="O495" i="17" a="1"/>
  <c r="O495" i="17" s="1"/>
  <c r="O496" i="17" a="1"/>
  <c r="O496" i="17" s="1"/>
  <c r="O497" i="17" a="1"/>
  <c r="O497" i="17" s="1"/>
  <c r="O498" i="17" a="1"/>
  <c r="O498" i="17" s="1"/>
  <c r="O499" i="17" a="1"/>
  <c r="O499" i="17" s="1"/>
  <c r="O500" i="17" a="1"/>
  <c r="O500" i="17" s="1"/>
  <c r="O501" i="17" a="1"/>
  <c r="O501" i="17" s="1"/>
  <c r="O502" i="17" a="1"/>
  <c r="O502" i="17" s="1"/>
  <c r="O503" i="17" a="1"/>
  <c r="O503" i="17" s="1"/>
  <c r="O504" i="17" a="1"/>
  <c r="O504" i="17" s="1"/>
  <c r="O505" i="17" a="1"/>
  <c r="O505" i="17" s="1"/>
  <c r="O506" i="17" a="1"/>
  <c r="O506" i="17" s="1"/>
  <c r="O507" i="17" a="1"/>
  <c r="O507" i="17" s="1"/>
  <c r="O508" i="17" a="1"/>
  <c r="O508" i="17" s="1"/>
  <c r="O509" i="17" a="1"/>
  <c r="O509" i="17" s="1"/>
  <c r="O510" i="17" a="1"/>
  <c r="O510" i="17" s="1"/>
  <c r="O511" i="17" a="1"/>
  <c r="O511" i="17" s="1"/>
  <c r="O512" i="17" a="1"/>
  <c r="O512" i="17" s="1"/>
  <c r="O513" i="17" a="1"/>
  <c r="O513" i="17" s="1"/>
  <c r="O514" i="17" a="1"/>
  <c r="O514" i="17" s="1"/>
  <c r="O515" i="17" a="1"/>
  <c r="O515" i="17" s="1"/>
  <c r="O516" i="17" a="1"/>
  <c r="O516" i="17" s="1"/>
  <c r="O517" i="17" a="1"/>
  <c r="O517" i="17" s="1"/>
  <c r="O518" i="17" a="1"/>
  <c r="O518" i="17" s="1"/>
  <c r="O519" i="17" a="1"/>
  <c r="O519" i="17" s="1"/>
  <c r="O520" i="17" a="1"/>
  <c r="O520" i="17" s="1"/>
  <c r="O521" i="17" a="1"/>
  <c r="O521" i="17" s="1"/>
  <c r="O522" i="17" a="1"/>
  <c r="O522" i="17" s="1"/>
  <c r="O523" i="17" a="1"/>
  <c r="O523" i="17" s="1"/>
  <c r="O524" i="17" a="1"/>
  <c r="O524" i="17" s="1"/>
  <c r="O525" i="17" a="1"/>
  <c r="O525" i="17" s="1"/>
  <c r="O526" i="17" a="1"/>
  <c r="O526" i="17" s="1"/>
  <c r="O527" i="17" a="1"/>
  <c r="O527" i="17" s="1"/>
  <c r="O528" i="17" a="1"/>
  <c r="O528" i="17" s="1"/>
  <c r="O529" i="17" a="1"/>
  <c r="O529" i="17" s="1"/>
  <c r="O530" i="17" a="1"/>
  <c r="O530" i="17" s="1"/>
  <c r="O531" i="17" a="1"/>
  <c r="O531" i="17" s="1"/>
  <c r="O532" i="17" a="1"/>
  <c r="O532" i="17" s="1"/>
  <c r="O533" i="17" a="1"/>
  <c r="O533" i="17" s="1"/>
  <c r="O534" i="17" a="1"/>
  <c r="O534" i="17" s="1"/>
  <c r="O535" i="17" a="1"/>
  <c r="O535" i="17" s="1"/>
  <c r="O536" i="17" a="1"/>
  <c r="O536" i="17" s="1"/>
  <c r="O537" i="17" a="1"/>
  <c r="O537" i="17" s="1"/>
  <c r="O538" i="17" a="1"/>
  <c r="O538" i="17" s="1"/>
  <c r="O539" i="17" a="1"/>
  <c r="O539" i="17" s="1"/>
  <c r="O540" i="17" a="1"/>
  <c r="O540" i="17" s="1"/>
  <c r="O541" i="17" a="1"/>
  <c r="O541" i="17" s="1"/>
  <c r="O542" i="17" a="1"/>
  <c r="O542" i="17" s="1"/>
  <c r="O543" i="17" a="1"/>
  <c r="O543" i="17" s="1"/>
  <c r="O544" i="17" a="1"/>
  <c r="O544" i="17" s="1"/>
  <c r="O545" i="17" a="1"/>
  <c r="O545" i="17" s="1"/>
  <c r="O546" i="17" a="1"/>
  <c r="O546" i="17" s="1"/>
  <c r="O547" i="17" a="1"/>
  <c r="O547" i="17" s="1"/>
  <c r="O548" i="17" a="1"/>
  <c r="O548" i="17" s="1"/>
  <c r="O549" i="17" a="1"/>
  <c r="O549" i="17" s="1"/>
  <c r="O550" i="17" a="1"/>
  <c r="O550" i="17" s="1"/>
  <c r="O551" i="17" a="1"/>
  <c r="O551" i="17" s="1"/>
  <c r="O552" i="17" a="1"/>
  <c r="O552" i="17" s="1"/>
  <c r="O553" i="17" a="1"/>
  <c r="O553" i="17" s="1"/>
  <c r="O554" i="17" a="1"/>
  <c r="O554" i="17" s="1"/>
  <c r="O555" i="17" a="1"/>
  <c r="O555" i="17" s="1"/>
  <c r="O556" i="17" a="1"/>
  <c r="O556" i="17" s="1"/>
  <c r="O557" i="17" a="1"/>
  <c r="O557" i="17" s="1"/>
  <c r="O558" i="17" a="1"/>
  <c r="O558" i="17" s="1"/>
  <c r="O559" i="17" a="1"/>
  <c r="O559" i="17" s="1"/>
  <c r="O560" i="17" a="1"/>
  <c r="O560" i="17" s="1"/>
  <c r="O561" i="17" a="1"/>
  <c r="O561" i="17" s="1"/>
  <c r="O562" i="17" a="1"/>
  <c r="O562" i="17" s="1"/>
  <c r="O563" i="17" a="1"/>
  <c r="O563" i="17" s="1"/>
  <c r="O564" i="17" a="1"/>
  <c r="O564" i="17" s="1"/>
  <c r="O565" i="17" a="1"/>
  <c r="O565" i="17" s="1"/>
  <c r="O566" i="17" a="1"/>
  <c r="O566" i="17" s="1"/>
  <c r="O567" i="17" a="1"/>
  <c r="O567" i="17" s="1"/>
  <c r="O568" i="17" a="1"/>
  <c r="O568" i="17" s="1"/>
  <c r="O569" i="17" a="1"/>
  <c r="O569" i="17" s="1"/>
  <c r="O570" i="17" a="1"/>
  <c r="O570" i="17" s="1"/>
  <c r="O571" i="17" a="1"/>
  <c r="O571" i="17" s="1"/>
  <c r="O572" i="17" a="1"/>
  <c r="O572" i="17" s="1"/>
  <c r="O573" i="17" a="1"/>
  <c r="O573" i="17" s="1"/>
  <c r="O574" i="17" a="1"/>
  <c r="O574" i="17" s="1"/>
  <c r="O575" i="17" a="1"/>
  <c r="O575" i="17" s="1"/>
  <c r="O576" i="17" a="1"/>
  <c r="O576" i="17" s="1"/>
  <c r="O577" i="17" a="1"/>
  <c r="O577" i="17" s="1"/>
  <c r="O578" i="17" a="1"/>
  <c r="O578" i="17" s="1"/>
  <c r="O579" i="17" a="1"/>
  <c r="O579" i="17" s="1"/>
  <c r="O580" i="17" a="1"/>
  <c r="O580" i="17" s="1"/>
  <c r="O581" i="17" a="1"/>
  <c r="O582" i="17" a="1"/>
  <c r="O582" i="17" s="1"/>
  <c r="O583" i="17" a="1"/>
  <c r="O583" i="17" s="1"/>
  <c r="O584" i="17" a="1"/>
  <c r="O584" i="17" s="1"/>
  <c r="O585" i="17" a="1"/>
  <c r="O585" i="17" s="1"/>
  <c r="O586" i="17" a="1"/>
  <c r="O586" i="17" s="1"/>
  <c r="O587" i="17" a="1"/>
  <c r="O587" i="17" s="1"/>
  <c r="O588" i="17" a="1"/>
  <c r="O588" i="17" s="1"/>
  <c r="O589" i="17" a="1"/>
  <c r="O589" i="17" s="1"/>
  <c r="O590" i="17" a="1"/>
  <c r="O590" i="17" s="1"/>
  <c r="O591" i="17" a="1"/>
  <c r="O591" i="17" s="1"/>
  <c r="O592" i="17" a="1"/>
  <c r="O592" i="17" s="1"/>
  <c r="O593" i="17" a="1"/>
  <c r="O593" i="17" s="1"/>
  <c r="O594" i="17" a="1"/>
  <c r="O594" i="17" s="1"/>
  <c r="O595" i="17" a="1"/>
  <c r="O595" i="17" s="1"/>
  <c r="O596" i="17" a="1"/>
  <c r="O596" i="17" s="1"/>
  <c r="O597" i="17" a="1"/>
  <c r="O597" i="17" s="1"/>
  <c r="O598" i="17" a="1"/>
  <c r="O598" i="17" s="1"/>
  <c r="O599" i="17" a="1"/>
  <c r="O599" i="17" s="1"/>
  <c r="O600" i="17" a="1"/>
  <c r="O600" i="17" s="1"/>
  <c r="O601" i="17" a="1"/>
  <c r="O601" i="17" s="1"/>
  <c r="O602" i="17" a="1"/>
  <c r="O602" i="17" s="1"/>
  <c r="O603" i="17" a="1"/>
  <c r="O603" i="17" s="1"/>
  <c r="O604" i="17" a="1"/>
  <c r="O604" i="17" s="1"/>
  <c r="O605" i="17" a="1"/>
  <c r="O605" i="17" s="1"/>
  <c r="O606" i="17" a="1"/>
  <c r="O606" i="17" s="1"/>
  <c r="O607" i="17" a="1"/>
  <c r="O607" i="17" s="1"/>
  <c r="O608" i="17" a="1"/>
  <c r="O608" i="17" s="1"/>
  <c r="O609" i="17" a="1"/>
  <c r="O609" i="17" s="1"/>
  <c r="O610" i="17" a="1"/>
  <c r="O610" i="17" s="1"/>
  <c r="O611" i="17" a="1"/>
  <c r="O611" i="17" s="1"/>
  <c r="O612" i="17" a="1"/>
  <c r="O612" i="17" s="1"/>
  <c r="O613" i="17" a="1"/>
  <c r="O613" i="17" s="1"/>
  <c r="O614" i="17" a="1"/>
  <c r="O614" i="17" s="1"/>
  <c r="O615" i="17" a="1"/>
  <c r="O615" i="17" s="1"/>
  <c r="O616" i="17" a="1"/>
  <c r="O616" i="17" s="1"/>
  <c r="O617" i="17" a="1"/>
  <c r="O617" i="17" s="1"/>
  <c r="O618" i="17" a="1"/>
  <c r="O618" i="17" s="1"/>
  <c r="O619" i="17" a="1"/>
  <c r="O619" i="17" s="1"/>
  <c r="O620" i="17" a="1"/>
  <c r="O620" i="17" s="1"/>
  <c r="O621" i="17" a="1"/>
  <c r="O621" i="17" s="1"/>
  <c r="O622" i="17" a="1"/>
  <c r="O622" i="17" s="1"/>
  <c r="O623" i="17" a="1"/>
  <c r="O623" i="17" s="1"/>
  <c r="O624" i="17" a="1"/>
  <c r="O624" i="17" s="1"/>
  <c r="O625" i="17" a="1"/>
  <c r="O625" i="17" s="1"/>
  <c r="O626" i="17" a="1"/>
  <c r="O626" i="17" s="1"/>
  <c r="O627" i="17" a="1"/>
  <c r="O627" i="17" s="1"/>
  <c r="O628" i="17" a="1"/>
  <c r="O628" i="17" s="1"/>
  <c r="O629" i="17" a="1"/>
  <c r="O629" i="17" s="1"/>
  <c r="O630" i="17" a="1"/>
  <c r="O630" i="17" s="1"/>
  <c r="O631" i="17" a="1"/>
  <c r="O631" i="17" s="1"/>
  <c r="O632" i="17" a="1"/>
  <c r="O632" i="17" s="1"/>
  <c r="O633" i="17" a="1"/>
  <c r="O633" i="17" s="1"/>
  <c r="O634" i="17" a="1"/>
  <c r="O634" i="17" s="1"/>
  <c r="O635" i="17" a="1"/>
  <c r="O635" i="17" s="1"/>
  <c r="O636" i="17" a="1"/>
  <c r="O636" i="17" s="1"/>
  <c r="O637" i="17" a="1"/>
  <c r="O637" i="17" s="1"/>
  <c r="O638" i="17" a="1"/>
  <c r="O638" i="17" s="1"/>
  <c r="O639" i="17" a="1"/>
  <c r="O639" i="17" s="1"/>
  <c r="O640" i="17" a="1"/>
  <c r="O640" i="17" s="1"/>
  <c r="O641" i="17" a="1"/>
  <c r="O641" i="17" s="1"/>
  <c r="O642" i="17" a="1"/>
  <c r="O642" i="17" s="1"/>
  <c r="O643" i="17" a="1"/>
  <c r="O643" i="17" s="1"/>
  <c r="O644" i="17" a="1"/>
  <c r="O644" i="17" s="1"/>
  <c r="O645" i="17" a="1"/>
  <c r="O645" i="17" s="1"/>
  <c r="O646" i="17" a="1"/>
  <c r="O646" i="17" s="1"/>
  <c r="O647" i="17" a="1"/>
  <c r="O647" i="17" s="1"/>
  <c r="O648" i="17" a="1"/>
  <c r="O648" i="17" s="1"/>
  <c r="O649" i="17" a="1"/>
  <c r="O649" i="17" s="1"/>
  <c r="O650" i="17" a="1"/>
  <c r="O650" i="17" s="1"/>
  <c r="O651" i="17" a="1"/>
  <c r="O651" i="17" s="1"/>
  <c r="O652" i="17" a="1"/>
  <c r="O652" i="17" s="1"/>
  <c r="O653" i="17" a="1"/>
  <c r="O653" i="17" s="1"/>
  <c r="O654" i="17" a="1"/>
  <c r="O654" i="17" s="1"/>
  <c r="O655" i="17" a="1"/>
  <c r="O655" i="17" s="1"/>
  <c r="O656" i="17" a="1"/>
  <c r="O656" i="17" s="1"/>
  <c r="O657" i="17" a="1"/>
  <c r="O657" i="17" s="1"/>
  <c r="O658" i="17" a="1"/>
  <c r="O658" i="17" s="1"/>
  <c r="O659" i="17" a="1"/>
  <c r="O659" i="17" s="1"/>
  <c r="O660" i="17" a="1"/>
  <c r="O660" i="17" s="1"/>
  <c r="O661" i="17" a="1"/>
  <c r="O661" i="17" s="1"/>
  <c r="O662" i="17" a="1"/>
  <c r="O662" i="17" s="1"/>
  <c r="O663" i="17" a="1"/>
  <c r="O663" i="17" s="1"/>
  <c r="O664" i="17" a="1"/>
  <c r="O664" i="17" s="1"/>
  <c r="O665" i="17" a="1"/>
  <c r="O665" i="17" s="1"/>
  <c r="O666" i="17" a="1"/>
  <c r="O666" i="17" s="1"/>
  <c r="O667" i="17" a="1"/>
  <c r="O667" i="17" s="1"/>
  <c r="O668" i="17" a="1"/>
  <c r="O668" i="17" s="1"/>
  <c r="O669" i="17" a="1"/>
  <c r="O669" i="17" s="1"/>
  <c r="O670" i="17" a="1"/>
  <c r="O670" i="17" s="1"/>
  <c r="O671" i="17" a="1"/>
  <c r="O671" i="17" s="1"/>
  <c r="O672" i="17" a="1"/>
  <c r="O672" i="17" s="1"/>
  <c r="O673" i="17" a="1"/>
  <c r="O673" i="17" s="1"/>
  <c r="O674" i="17" a="1"/>
  <c r="O674" i="17" s="1"/>
  <c r="O675" i="17" a="1"/>
  <c r="O675" i="17" s="1"/>
  <c r="O676" i="17" a="1"/>
  <c r="O676" i="17" s="1"/>
  <c r="O677" i="17" a="1"/>
  <c r="O677" i="17" s="1"/>
  <c r="O678" i="17" a="1"/>
  <c r="O678" i="17" s="1"/>
  <c r="O679" i="17" a="1"/>
  <c r="O679" i="17" s="1"/>
  <c r="O680" i="17" a="1"/>
  <c r="O680" i="17" s="1"/>
  <c r="O681" i="17" a="1"/>
  <c r="O681" i="17" s="1"/>
  <c r="O682" i="17" a="1"/>
  <c r="O682" i="17" s="1"/>
  <c r="O683" i="17" a="1"/>
  <c r="O683" i="17" s="1"/>
  <c r="O684" i="17" a="1"/>
  <c r="O684" i="17" s="1"/>
  <c r="O685" i="17" a="1"/>
  <c r="O685" i="17" s="1"/>
  <c r="O686" i="17" a="1"/>
  <c r="O686" i="17" s="1"/>
  <c r="O687" i="17" a="1"/>
  <c r="O687" i="17" s="1"/>
  <c r="O688" i="17" a="1"/>
  <c r="O688" i="17" s="1"/>
  <c r="O689" i="17" a="1"/>
  <c r="O689" i="17" s="1"/>
  <c r="O690" i="17" a="1"/>
  <c r="O690" i="17" s="1"/>
  <c r="O691" i="17" a="1"/>
  <c r="O691" i="17" s="1"/>
  <c r="O692" i="17" a="1"/>
  <c r="O692" i="17" s="1"/>
  <c r="O693" i="17" a="1"/>
  <c r="O693" i="17" s="1"/>
  <c r="O694" i="17" a="1"/>
  <c r="O694" i="17" s="1"/>
  <c r="O695" i="17" a="1"/>
  <c r="O695" i="17" s="1"/>
  <c r="O696" i="17" a="1"/>
  <c r="O696" i="17" s="1"/>
  <c r="O697" i="17" a="1"/>
  <c r="O697" i="17" s="1"/>
  <c r="O698" i="17" a="1"/>
  <c r="O698" i="17" s="1"/>
  <c r="O699" i="17" a="1"/>
  <c r="O699" i="17" s="1"/>
  <c r="O700" i="17" a="1"/>
  <c r="O700" i="17" s="1"/>
  <c r="O701" i="17" a="1"/>
  <c r="O701" i="17" s="1"/>
  <c r="O702" i="17" a="1"/>
  <c r="O702" i="17" s="1"/>
  <c r="O703" i="17" a="1"/>
  <c r="O703" i="17" s="1"/>
  <c r="O704" i="17" a="1"/>
  <c r="O704" i="17" s="1"/>
  <c r="O705" i="17" a="1"/>
  <c r="O705" i="17" s="1"/>
  <c r="O706" i="17" a="1"/>
  <c r="O706" i="17" s="1"/>
  <c r="O707" i="17" a="1"/>
  <c r="O707" i="17" s="1"/>
  <c r="O708" i="17" a="1"/>
  <c r="O708" i="17" s="1"/>
  <c r="O709" i="17" a="1"/>
  <c r="O709" i="17" s="1"/>
  <c r="O710" i="17" a="1"/>
  <c r="O710" i="17" s="1"/>
  <c r="O711" i="17" a="1"/>
  <c r="O711" i="17" s="1"/>
  <c r="O712" i="17" a="1"/>
  <c r="O712" i="17" s="1"/>
  <c r="O713" i="17" a="1"/>
  <c r="O713" i="17" s="1"/>
  <c r="O714" i="17" a="1"/>
  <c r="O714" i="17" s="1"/>
  <c r="O715" i="17" a="1"/>
  <c r="O716" i="17" a="1"/>
  <c r="O716" i="17" s="1"/>
  <c r="O717" i="17" a="1"/>
  <c r="O717" i="17" s="1"/>
  <c r="O718" i="17" a="1"/>
  <c r="O718" i="17" s="1"/>
  <c r="O719" i="17" a="1"/>
  <c r="O719" i="17" s="1"/>
  <c r="O720" i="17" a="1"/>
  <c r="O720" i="17" s="1"/>
  <c r="O721" i="17" a="1"/>
  <c r="O721" i="17" s="1"/>
  <c r="O722" i="17" a="1"/>
  <c r="O722" i="17" s="1"/>
  <c r="O723" i="17" a="1"/>
  <c r="O723" i="17" s="1"/>
  <c r="O724" i="17" a="1"/>
  <c r="O724" i="17" s="1"/>
  <c r="O725" i="17" a="1"/>
  <c r="O725" i="17" s="1"/>
  <c r="O726" i="17" a="1"/>
  <c r="O726" i="17" s="1"/>
  <c r="O727" i="17" a="1"/>
  <c r="O727" i="17" s="1"/>
  <c r="O728" i="17" a="1"/>
  <c r="O728" i="17" s="1"/>
  <c r="O729" i="17" a="1"/>
  <c r="O729" i="17" s="1"/>
  <c r="O730" i="17" a="1"/>
  <c r="O730" i="17" s="1"/>
  <c r="O731" i="17" a="1"/>
  <c r="O731" i="17" s="1"/>
  <c r="O732" i="17" a="1"/>
  <c r="O732" i="17" s="1"/>
  <c r="O733" i="17" a="1"/>
  <c r="O733" i="17" s="1"/>
  <c r="O734" i="17" a="1"/>
  <c r="O734" i="17" s="1"/>
  <c r="O735" i="17" a="1"/>
  <c r="O735" i="17" s="1"/>
  <c r="O736" i="17" a="1"/>
  <c r="O736" i="17" s="1"/>
  <c r="O737" i="17" a="1"/>
  <c r="O737" i="17" s="1"/>
  <c r="O738" i="17" a="1"/>
  <c r="O738" i="17" s="1"/>
  <c r="O739" i="17" a="1"/>
  <c r="O739" i="17" s="1"/>
  <c r="O740" i="17" a="1"/>
  <c r="O740" i="17" s="1"/>
  <c r="O741" i="17" a="1"/>
  <c r="O741" i="17" s="1"/>
  <c r="O742" i="17" a="1"/>
  <c r="O742" i="17" s="1"/>
  <c r="O743" i="17" a="1"/>
  <c r="O743" i="17" s="1"/>
  <c r="O744" i="17" a="1"/>
  <c r="O744" i="17" s="1"/>
  <c r="O745" i="17" a="1"/>
  <c r="O745" i="17" s="1"/>
  <c r="O746" i="17" a="1"/>
  <c r="O746" i="17" s="1"/>
  <c r="O747" i="17" a="1"/>
  <c r="O747" i="17" s="1"/>
  <c r="O748" i="17" a="1"/>
  <c r="O748" i="17" s="1"/>
  <c r="O749" i="17" a="1"/>
  <c r="O749" i="17" s="1"/>
  <c r="O750" i="17" a="1"/>
  <c r="O750" i="17" s="1"/>
  <c r="O751" i="17" a="1"/>
  <c r="O751" i="17" s="1"/>
  <c r="O752" i="17" a="1"/>
  <c r="O752" i="17" s="1"/>
  <c r="O753" i="17" a="1"/>
  <c r="O753" i="17" s="1"/>
  <c r="O754" i="17" a="1"/>
  <c r="O754" i="17"/>
  <c r="O755" i="17" a="1"/>
  <c r="O755" i="17"/>
  <c r="O756" i="17" a="1"/>
  <c r="O756" i="17"/>
  <c r="O757" i="17" a="1"/>
  <c r="O757" i="17"/>
  <c r="O758" i="17" a="1"/>
  <c r="O758" i="17"/>
  <c r="O759" i="17" a="1"/>
  <c r="O759" i="17"/>
  <c r="O760" i="17" a="1"/>
  <c r="O760" i="17"/>
  <c r="O761" i="17" a="1"/>
  <c r="O761" i="17"/>
  <c r="O762" i="17" a="1"/>
  <c r="O762" i="17"/>
  <c r="O763" i="17" a="1"/>
  <c r="O763" i="17"/>
  <c r="O764" i="17" a="1"/>
  <c r="O764" i="17"/>
  <c r="O765" i="17" a="1"/>
  <c r="O765" i="17"/>
  <c r="O766" i="17" a="1"/>
  <c r="O766" i="17"/>
  <c r="O767" i="17" a="1"/>
  <c r="O767" i="17"/>
  <c r="O768" i="17" a="1"/>
  <c r="O768" i="17"/>
  <c r="O769" i="17" a="1"/>
  <c r="O769" i="17"/>
  <c r="O770" i="17" a="1"/>
  <c r="O770" i="17"/>
  <c r="O771" i="17" a="1"/>
  <c r="O771" i="17"/>
  <c r="O772" i="17" a="1"/>
  <c r="O772" i="17"/>
  <c r="O773" i="17" a="1"/>
  <c r="O773" i="17"/>
  <c r="O774" i="17" a="1"/>
  <c r="O774" i="17"/>
  <c r="O775" i="17" a="1"/>
  <c r="O775" i="17"/>
  <c r="O776" i="17" a="1"/>
  <c r="O776" i="17"/>
  <c r="O777" i="17" a="1"/>
  <c r="O777" i="17"/>
  <c r="O778" i="17" a="1"/>
  <c r="O778" i="17"/>
  <c r="O779" i="17" a="1"/>
  <c r="O779" i="17"/>
  <c r="O780" i="17" a="1"/>
  <c r="O780" i="17"/>
  <c r="O781" i="17" a="1"/>
  <c r="O781" i="17"/>
  <c r="O782" i="17" a="1"/>
  <c r="O782" i="17"/>
  <c r="O783" i="17" a="1"/>
  <c r="O783" i="17"/>
  <c r="O784" i="17" a="1"/>
  <c r="O784" i="17"/>
  <c r="O785" i="17" a="1"/>
  <c r="O785" i="17"/>
  <c r="O786" i="17" a="1"/>
  <c r="O786" i="17"/>
  <c r="O787" i="17" a="1"/>
  <c r="O787" i="17"/>
  <c r="O788" i="17" a="1"/>
  <c r="O788" i="17"/>
  <c r="O789" i="17" a="1"/>
  <c r="O789" i="17"/>
  <c r="O790" i="17" a="1"/>
  <c r="O790" i="17"/>
  <c r="O791" i="17" a="1"/>
  <c r="O791" i="17"/>
  <c r="O792" i="17" a="1"/>
  <c r="O792" i="17"/>
  <c r="O793" i="17" a="1"/>
  <c r="O793" i="17"/>
  <c r="O794" i="17" a="1"/>
  <c r="O794" i="17"/>
  <c r="O795" i="17" a="1"/>
  <c r="O795" i="17"/>
  <c r="O796" i="17" a="1"/>
  <c r="O796" i="17"/>
  <c r="O797" i="17" a="1"/>
  <c r="O797" i="17"/>
  <c r="O798" i="17" a="1"/>
  <c r="O798" i="17"/>
  <c r="O799" i="17" a="1"/>
  <c r="O799" i="17"/>
  <c r="O800" i="17" a="1"/>
  <c r="O800" i="17"/>
  <c r="O801" i="17" a="1"/>
  <c r="O801" i="17"/>
  <c r="O802" i="17" a="1"/>
  <c r="O802" i="17"/>
  <c r="O803" i="17" a="1"/>
  <c r="O803" i="17"/>
  <c r="O804" i="17" a="1"/>
  <c r="O804" i="17"/>
  <c r="O805" i="17" a="1"/>
  <c r="O805" i="17"/>
  <c r="O806" i="17" a="1"/>
  <c r="O806" i="17"/>
  <c r="O807" i="17" a="1"/>
  <c r="O807" i="17"/>
  <c r="O808" i="17" a="1"/>
  <c r="O808" i="17"/>
  <c r="O809" i="17" a="1"/>
  <c r="O809" i="17"/>
  <c r="O810" i="17" a="1"/>
  <c r="O810" i="17"/>
  <c r="O811" i="17" a="1"/>
  <c r="O811" i="17"/>
  <c r="O812" i="17" a="1"/>
  <c r="O812" i="17"/>
  <c r="O813" i="17" a="1"/>
  <c r="O813" i="17"/>
  <c r="O814" i="17" a="1"/>
  <c r="O814" i="17"/>
  <c r="O815" i="17" a="1"/>
  <c r="O815" i="17"/>
  <c r="O816" i="17" a="1"/>
  <c r="O816" i="17"/>
  <c r="O817" i="17" a="1"/>
  <c r="O817" i="17"/>
  <c r="O818" i="17" a="1"/>
  <c r="O818" i="17"/>
  <c r="O819" i="17" a="1"/>
  <c r="O819" i="17"/>
  <c r="O820" i="17" a="1"/>
  <c r="O820" i="17"/>
  <c r="O821" i="17" a="1"/>
  <c r="O821" i="17"/>
  <c r="O822" i="17" a="1"/>
  <c r="O822" i="17"/>
  <c r="O823" i="17" a="1"/>
  <c r="O823" i="17"/>
  <c r="O824" i="17" a="1"/>
  <c r="O824" i="17"/>
  <c r="O825" i="17" a="1"/>
  <c r="O825" i="17"/>
  <c r="O826" i="17" a="1"/>
  <c r="O826" i="17"/>
  <c r="O827" i="17" a="1"/>
  <c r="O827" i="17"/>
  <c r="O828" i="17" a="1"/>
  <c r="O828" i="17"/>
  <c r="O829" i="17" a="1"/>
  <c r="O829" i="17"/>
  <c r="O830" i="17" a="1"/>
  <c r="O830" i="17"/>
  <c r="O831" i="17" a="1"/>
  <c r="O831" i="17"/>
  <c r="O832" i="17" a="1"/>
  <c r="O832" i="17"/>
  <c r="O833" i="17" a="1"/>
  <c r="O833" i="17"/>
  <c r="O834" i="17" a="1"/>
  <c r="O834" i="17"/>
  <c r="O835" i="17" a="1"/>
  <c r="O835" i="17"/>
  <c r="O836" i="17" a="1"/>
  <c r="O836" i="17"/>
  <c r="O837" i="17" a="1"/>
  <c r="O837" i="17"/>
  <c r="O838" i="17" a="1"/>
  <c r="O838" i="17"/>
  <c r="O839" i="17" a="1"/>
  <c r="O839" i="17"/>
  <c r="O840" i="17" a="1"/>
  <c r="O840" i="17"/>
  <c r="O841" i="17" a="1"/>
  <c r="O841" i="17"/>
  <c r="O842" i="17" a="1"/>
  <c r="O842" i="17"/>
  <c r="O843" i="17" a="1"/>
  <c r="O843" i="17"/>
  <c r="O844" i="17" a="1"/>
  <c r="O844" i="17"/>
  <c r="O845" i="17" a="1"/>
  <c r="O845" i="17"/>
  <c r="O846" i="17" a="1"/>
  <c r="O846" i="17"/>
  <c r="O847" i="17" a="1"/>
  <c r="O847" i="17"/>
  <c r="O848" i="17" a="1"/>
  <c r="O848" i="17"/>
  <c r="O849" i="17" a="1"/>
  <c r="O849" i="17"/>
  <c r="O850" i="17" a="1"/>
  <c r="O850" i="17"/>
  <c r="O851" i="17" a="1"/>
  <c r="O851" i="17"/>
  <c r="O852" i="17" a="1"/>
  <c r="O852" i="17"/>
  <c r="O853" i="17" a="1"/>
  <c r="O853" i="17"/>
  <c r="O854" i="17" a="1"/>
  <c r="O854" i="17"/>
  <c r="O855" i="17" a="1"/>
  <c r="O855" i="17"/>
  <c r="O856" i="17" a="1"/>
  <c r="O856" i="17"/>
  <c r="O857" i="17" a="1"/>
  <c r="O857" i="17"/>
  <c r="O858" i="17" a="1"/>
  <c r="O858" i="17"/>
  <c r="O859" i="17" a="1"/>
  <c r="O859" i="17"/>
  <c r="O860" i="17" a="1"/>
  <c r="O860" i="17"/>
  <c r="O861" i="17" a="1"/>
  <c r="O861" i="17"/>
  <c r="O862" i="17" a="1"/>
  <c r="O862" i="17"/>
  <c r="O863" i="17" a="1"/>
  <c r="O863" i="17"/>
  <c r="O864" i="17" a="1"/>
  <c r="O864" i="17"/>
  <c r="O865" i="17" a="1"/>
  <c r="O865" i="17"/>
  <c r="O866" i="17" a="1"/>
  <c r="O866" i="17"/>
  <c r="O867" i="17" a="1"/>
  <c r="O867" i="17"/>
  <c r="O868" i="17" a="1"/>
  <c r="O868" i="17"/>
  <c r="O869" i="17" a="1"/>
  <c r="O869" i="17"/>
  <c r="O870" i="17" a="1"/>
  <c r="O870" i="17"/>
  <c r="O871" i="17" a="1"/>
  <c r="O871" i="17"/>
  <c r="O872" i="17" a="1"/>
  <c r="O872" i="17"/>
  <c r="O873" i="17" a="1"/>
  <c r="O873" i="17"/>
  <c r="O874" i="17" a="1"/>
  <c r="O874" i="17"/>
  <c r="O875" i="17" a="1"/>
  <c r="O875" i="17"/>
  <c r="O876" i="17" a="1"/>
  <c r="O876" i="17"/>
  <c r="O877" i="17" a="1"/>
  <c r="O877" i="17"/>
  <c r="O878" i="17" a="1"/>
  <c r="O878" i="17"/>
  <c r="O879" i="17" a="1"/>
  <c r="O879" i="17"/>
  <c r="O880" i="17" a="1"/>
  <c r="O880" i="17"/>
  <c r="O881" i="17" a="1"/>
  <c r="O881" i="17"/>
  <c r="O882" i="17" a="1"/>
  <c r="O882" i="17"/>
  <c r="O883" i="17" a="1"/>
  <c r="O883" i="17"/>
  <c r="O884" i="17" a="1"/>
  <c r="O884" i="17"/>
  <c r="O885" i="17" a="1"/>
  <c r="O885" i="17"/>
  <c r="O886" i="17" a="1"/>
  <c r="O886" i="17"/>
  <c r="O887" i="17" a="1"/>
  <c r="O887" i="17"/>
  <c r="O888" i="17" a="1"/>
  <c r="O888" i="17"/>
  <c r="O889" i="17" a="1"/>
  <c r="O889" i="17"/>
  <c r="O890" i="17" a="1"/>
  <c r="O890" i="17"/>
  <c r="O891" i="17" a="1"/>
  <c r="O891" i="17"/>
  <c r="O892" i="17" a="1"/>
  <c r="O892" i="17"/>
  <c r="O893" i="17" a="1"/>
  <c r="O893" i="17"/>
  <c r="O894" i="17" a="1"/>
  <c r="O894" i="17"/>
  <c r="O895" i="17" a="1"/>
  <c r="O895" i="17"/>
  <c r="O896" i="17" a="1"/>
  <c r="O896" i="17"/>
  <c r="O897" i="17" a="1"/>
  <c r="O897" i="17"/>
  <c r="O898" i="17" a="1"/>
  <c r="O898" i="17"/>
  <c r="O899" i="17" a="1"/>
  <c r="O899" i="17"/>
  <c r="O900" i="17" a="1"/>
  <c r="O900" i="17"/>
  <c r="O901" i="17" a="1"/>
  <c r="O901" i="17"/>
  <c r="O902" i="17" a="1"/>
  <c r="O902" i="17"/>
  <c r="O903" i="17" a="1"/>
  <c r="O903" i="17"/>
  <c r="O904" i="17" a="1"/>
  <c r="O904" i="17"/>
  <c r="O905" i="17" a="1"/>
  <c r="O905" i="17"/>
  <c r="O906" i="17" a="1"/>
  <c r="O906" i="17"/>
  <c r="O907" i="17" a="1"/>
  <c r="O907" i="17"/>
  <c r="O908" i="17" a="1"/>
  <c r="O908" i="17"/>
  <c r="O909" i="17" a="1"/>
  <c r="O909" i="17"/>
  <c r="O910" i="17" a="1"/>
  <c r="O910" i="17"/>
  <c r="O911" i="17" a="1"/>
  <c r="O911" i="17"/>
  <c r="O912" i="17" a="1"/>
  <c r="O912" i="17"/>
  <c r="O913" i="17" a="1"/>
  <c r="O913" i="17"/>
  <c r="O914" i="17" a="1"/>
  <c r="O914" i="17"/>
  <c r="O915" i="17" a="1"/>
  <c r="O915" i="17"/>
  <c r="O916" i="17" a="1"/>
  <c r="O916" i="17"/>
  <c r="O917" i="17" a="1"/>
  <c r="O917" i="17"/>
  <c r="O918" i="17" a="1"/>
  <c r="O918" i="17"/>
  <c r="O919" i="17" a="1"/>
  <c r="O919" i="17"/>
  <c r="O920" i="17" a="1"/>
  <c r="O920" i="17"/>
  <c r="O921" i="17" a="1"/>
  <c r="O921" i="17"/>
  <c r="O922" i="17" a="1"/>
  <c r="O922" i="17"/>
  <c r="O923" i="17" a="1"/>
  <c r="O923" i="17"/>
  <c r="O924" i="17" a="1"/>
  <c r="O924" i="17"/>
  <c r="O925" i="17" a="1"/>
  <c r="O925" i="17"/>
  <c r="O926" i="17" a="1"/>
  <c r="O926" i="17"/>
  <c r="O927" i="17" a="1"/>
  <c r="O927" i="17"/>
  <c r="O928" i="17" a="1"/>
  <c r="O928" i="17"/>
  <c r="O929" i="17" a="1"/>
  <c r="O929" i="17"/>
  <c r="O930" i="17" a="1"/>
  <c r="O930" i="17"/>
  <c r="O931" i="17" a="1"/>
  <c r="O931" i="17"/>
  <c r="O932" i="17" a="1"/>
  <c r="O932" i="17"/>
  <c r="O933" i="17" a="1"/>
  <c r="O933" i="17"/>
  <c r="O934" i="17" a="1"/>
  <c r="O934" i="17"/>
  <c r="O935" i="17" a="1"/>
  <c r="O935" i="17"/>
  <c r="O936" i="17" a="1"/>
  <c r="O936" i="17"/>
  <c r="O937" i="17" a="1"/>
  <c r="O937" i="17"/>
  <c r="O938" i="17" a="1"/>
  <c r="O938" i="17"/>
  <c r="O939" i="17" a="1"/>
  <c r="O939" i="17"/>
  <c r="O940" i="17" a="1"/>
  <c r="O940" i="17"/>
  <c r="O941" i="17" a="1"/>
  <c r="O941" i="17"/>
  <c r="O942" i="17" a="1"/>
  <c r="O942" i="17"/>
  <c r="O943" i="17" a="1"/>
  <c r="O943" i="17"/>
  <c r="O944" i="17" a="1"/>
  <c r="O944" i="17"/>
  <c r="O945" i="17" a="1"/>
  <c r="O945" i="17"/>
  <c r="O946" i="17" a="1"/>
  <c r="O946" i="17"/>
  <c r="O947" i="17" a="1"/>
  <c r="O947" i="17"/>
  <c r="O948" i="17" a="1"/>
  <c r="O948" i="17"/>
  <c r="O949" i="17" a="1"/>
  <c r="O949" i="17"/>
  <c r="O950" i="17" a="1"/>
  <c r="O950" i="17"/>
  <c r="O951" i="17" a="1"/>
  <c r="O951" i="17"/>
  <c r="O952" i="17" a="1"/>
  <c r="O952" i="17"/>
  <c r="O953" i="17" a="1"/>
  <c r="O953" i="17"/>
  <c r="O954" i="17" a="1"/>
  <c r="O954" i="17"/>
  <c r="O955" i="17" a="1"/>
  <c r="O955" i="17"/>
  <c r="O956" i="17" a="1"/>
  <c r="O956" i="17"/>
  <c r="O957" i="17" a="1"/>
  <c r="O957" i="17"/>
  <c r="O958" i="17" a="1"/>
  <c r="O958" i="17"/>
  <c r="O959" i="17" a="1"/>
  <c r="O959" i="17"/>
  <c r="O960" i="17" a="1"/>
  <c r="O960" i="17"/>
  <c r="O961" i="17" a="1"/>
  <c r="O961" i="17"/>
  <c r="O962" i="17" a="1"/>
  <c r="O962" i="17"/>
  <c r="O963" i="17" a="1"/>
  <c r="O963" i="17"/>
  <c r="O964" i="17" a="1"/>
  <c r="O964" i="17"/>
  <c r="O965" i="17" a="1"/>
  <c r="O965" i="17"/>
  <c r="O966" i="17" a="1"/>
  <c r="O966" i="17"/>
  <c r="O967" i="17" a="1"/>
  <c r="O967" i="17"/>
  <c r="O968" i="17" a="1"/>
  <c r="O968" i="17"/>
  <c r="O969" i="17" a="1"/>
  <c r="O969" i="17"/>
  <c r="O970" i="17" a="1"/>
  <c r="O970" i="17"/>
  <c r="O971" i="17" a="1"/>
  <c r="O971" i="17"/>
  <c r="O972" i="17" a="1"/>
  <c r="O972" i="17"/>
  <c r="O973" i="17" a="1"/>
  <c r="O973" i="17"/>
  <c r="O974" i="17" a="1"/>
  <c r="O974" i="17"/>
  <c r="O975" i="17" a="1"/>
  <c r="O975" i="17"/>
  <c r="O976" i="17" a="1"/>
  <c r="O976" i="17"/>
  <c r="O977" i="17" a="1"/>
  <c r="O977" i="17"/>
  <c r="O978" i="17" a="1"/>
  <c r="O978" i="17"/>
  <c r="O979" i="17" a="1"/>
  <c r="O979" i="17"/>
  <c r="O980" i="17" a="1"/>
  <c r="O980" i="17"/>
  <c r="O981" i="17" a="1"/>
  <c r="O981" i="17"/>
  <c r="O982" i="17" a="1"/>
  <c r="O982" i="17"/>
  <c r="O983" i="17" a="1"/>
  <c r="O983" i="17"/>
  <c r="O984" i="17" a="1"/>
  <c r="O984" i="17"/>
  <c r="O985" i="17" a="1"/>
  <c r="O985" i="17"/>
  <c r="O986" i="17" a="1"/>
  <c r="O986" i="17"/>
  <c r="O987" i="17" a="1"/>
  <c r="O987" i="17"/>
  <c r="O988" i="17" a="1"/>
  <c r="O988" i="17"/>
  <c r="O989" i="17" a="1"/>
  <c r="O989" i="17"/>
  <c r="O990" i="17" a="1"/>
  <c r="O990" i="17"/>
  <c r="O991" i="17" a="1"/>
  <c r="O991" i="17"/>
  <c r="O992" i="17" a="1"/>
  <c r="O992" i="17"/>
  <c r="O993" i="17" a="1"/>
  <c r="O993" i="17"/>
  <c r="O994" i="17" a="1"/>
  <c r="O994" i="17"/>
  <c r="O995" i="17" a="1"/>
  <c r="O995" i="17"/>
  <c r="O996" i="17" a="1"/>
  <c r="O996" i="17"/>
  <c r="O997" i="17" a="1"/>
  <c r="O997" i="17"/>
  <c r="O998" i="17" a="1"/>
  <c r="O998" i="17"/>
  <c r="O999" i="17" a="1"/>
  <c r="O999" i="17"/>
  <c r="O1000" i="17" a="1"/>
  <c r="O1000" i="17"/>
  <c r="O1001" i="17" a="1"/>
  <c r="O1001" i="17"/>
  <c r="O2" i="17" a="1"/>
  <c r="O2" i="17"/>
  <c r="N3" i="17" a="1"/>
  <c r="N3" i="17"/>
  <c r="N4" i="17" a="1"/>
  <c r="N4" i="17" s="1"/>
  <c r="N5" i="17" a="1"/>
  <c r="N5" i="17" s="1"/>
  <c r="N6" i="17" a="1"/>
  <c r="N6" i="17" s="1"/>
  <c r="N7" i="17" a="1"/>
  <c r="N7" i="17"/>
  <c r="N8" i="17" a="1"/>
  <c r="N8" i="17"/>
  <c r="N9" i="17" a="1"/>
  <c r="N9" i="17" s="1"/>
  <c r="N10" i="17" a="1"/>
  <c r="N10" i="17" s="1"/>
  <c r="N11" i="17" a="1"/>
  <c r="N11" i="17" s="1"/>
  <c r="N12" i="17" a="1"/>
  <c r="N12" i="17" s="1"/>
  <c r="N13" i="17" a="1"/>
  <c r="N13" i="17" s="1"/>
  <c r="N14" i="17" a="1"/>
  <c r="N14" i="17" s="1"/>
  <c r="N15" i="17" a="1"/>
  <c r="N15" i="17" s="1"/>
  <c r="N16" i="17" a="1"/>
  <c r="N16" i="17"/>
  <c r="N17" i="17" a="1"/>
  <c r="N17" i="17" s="1"/>
  <c r="N18" i="17" a="1"/>
  <c r="N18" i="17" s="1"/>
  <c r="N19" i="17" a="1"/>
  <c r="N19" i="17" s="1"/>
  <c r="N20" i="17" a="1"/>
  <c r="N20" i="17"/>
  <c r="N21" i="17" a="1"/>
  <c r="N21" i="17" s="1"/>
  <c r="N22" i="17" a="1"/>
  <c r="N22" i="17"/>
  <c r="N23" i="17" a="1"/>
  <c r="N23" i="17" s="1"/>
  <c r="N24" i="17" a="1"/>
  <c r="N24" i="17"/>
  <c r="N25" i="17" a="1"/>
  <c r="N25" i="17" s="1"/>
  <c r="N26" i="17" a="1"/>
  <c r="N26" i="17" s="1"/>
  <c r="N27" i="17" a="1"/>
  <c r="N27" i="17" s="1"/>
  <c r="N28" i="17" a="1"/>
  <c r="N28" i="17" s="1"/>
  <c r="N29" i="17" a="1"/>
  <c r="N29" i="17" s="1"/>
  <c r="N30" i="17" a="1"/>
  <c r="N30" i="17"/>
  <c r="N31" i="17" a="1"/>
  <c r="N31" i="17" s="1"/>
  <c r="N32" i="17" a="1"/>
  <c r="N32" i="17" s="1"/>
  <c r="N33" i="17" a="1"/>
  <c r="N33" i="17" s="1"/>
  <c r="N34" i="17" a="1"/>
  <c r="N34" i="17" s="1"/>
  <c r="N35" i="17" a="1"/>
  <c r="N35" i="17" s="1"/>
  <c r="N36" i="17" a="1"/>
  <c r="N36" i="17" s="1"/>
  <c r="N37" i="17" a="1"/>
  <c r="N37" i="17" s="1"/>
  <c r="N38" i="17" a="1"/>
  <c r="N38" i="17" s="1"/>
  <c r="N39" i="17" a="1"/>
  <c r="N39" i="17" s="1"/>
  <c r="N40" i="17" a="1"/>
  <c r="N40" i="17" s="1"/>
  <c r="N41" i="17" a="1"/>
  <c r="N41" i="17" s="1"/>
  <c r="N42" i="17" a="1"/>
  <c r="N42" i="17" s="1"/>
  <c r="N43" i="17" a="1"/>
  <c r="N43" i="17" s="1"/>
  <c r="N44" i="17" a="1"/>
  <c r="N44" i="17" s="1"/>
  <c r="N45" i="17" a="1"/>
  <c r="N45" i="17" s="1"/>
  <c r="N46" i="17" a="1"/>
  <c r="N46" i="17" s="1"/>
  <c r="N47" i="17" a="1"/>
  <c r="N47" i="17" s="1"/>
  <c r="N48" i="17" a="1"/>
  <c r="N48" i="17" s="1"/>
  <c r="N49" i="17" a="1"/>
  <c r="N49" i="17" s="1"/>
  <c r="N50" i="17" a="1"/>
  <c r="N50" i="17" s="1"/>
  <c r="N51" i="17" a="1"/>
  <c r="N51" i="17" s="1"/>
  <c r="N52" i="17" a="1"/>
  <c r="N52" i="17" s="1"/>
  <c r="N53" i="17" a="1"/>
  <c r="N53" i="17" s="1"/>
  <c r="N54" i="17" a="1"/>
  <c r="N54" i="17"/>
  <c r="N55" i="17" a="1"/>
  <c r="N55" i="17" s="1"/>
  <c r="N56" i="17" a="1"/>
  <c r="N56" i="17" s="1"/>
  <c r="N57" i="17" a="1"/>
  <c r="N57" i="17" s="1"/>
  <c r="N58" i="17" a="1"/>
  <c r="N58" i="17" s="1"/>
  <c r="N59" i="17" a="1"/>
  <c r="N59" i="17" s="1"/>
  <c r="N60" i="17" a="1"/>
  <c r="N60" i="17" s="1"/>
  <c r="N61" i="17" a="1"/>
  <c r="N61" i="17" s="1"/>
  <c r="N62" i="17" a="1"/>
  <c r="N62" i="17" s="1"/>
  <c r="N63" i="17" a="1"/>
  <c r="N63" i="17" s="1"/>
  <c r="N64" i="17" a="1"/>
  <c r="N64" i="17" s="1"/>
  <c r="N65" i="17" a="1"/>
  <c r="N65" i="17" s="1"/>
  <c r="N66" i="17" a="1"/>
  <c r="N66" i="17" s="1"/>
  <c r="N67" i="17" a="1"/>
  <c r="N67" i="17" s="1"/>
  <c r="N68" i="17" a="1"/>
  <c r="N68" i="17" s="1"/>
  <c r="N69" i="17" a="1"/>
  <c r="N69" i="17" s="1"/>
  <c r="N70" i="17" a="1"/>
  <c r="N70" i="17" s="1"/>
  <c r="N71" i="17" a="1"/>
  <c r="N71" i="17" s="1"/>
  <c r="N72" i="17" a="1"/>
  <c r="N72" i="17" s="1"/>
  <c r="N73" i="17" a="1"/>
  <c r="N73" i="17" s="1"/>
  <c r="N74" i="17" a="1"/>
  <c r="N74" i="17" s="1"/>
  <c r="N75" i="17" a="1"/>
  <c r="N75" i="17" s="1"/>
  <c r="N76" i="17" a="1"/>
  <c r="N76" i="17"/>
  <c r="N77" i="17" a="1"/>
  <c r="N77" i="17" s="1"/>
  <c r="N78" i="17" a="1"/>
  <c r="N78" i="17" s="1"/>
  <c r="N79" i="17" a="1"/>
  <c r="N79" i="17" s="1"/>
  <c r="N80" i="17" a="1"/>
  <c r="N80" i="17" s="1"/>
  <c r="N81" i="17" a="1"/>
  <c r="N81" i="17" s="1"/>
  <c r="N82" i="17" a="1"/>
  <c r="N82" i="17" s="1"/>
  <c r="N83" i="17" a="1"/>
  <c r="N83" i="17" s="1"/>
  <c r="N84" i="17" a="1"/>
  <c r="N84" i="17" s="1"/>
  <c r="N85" i="17" a="1"/>
  <c r="N85" i="17"/>
  <c r="N86" i="17" a="1"/>
  <c r="N86" i="17" s="1"/>
  <c r="N87" i="17" a="1"/>
  <c r="N87" i="17" s="1"/>
  <c r="N88" i="17" a="1"/>
  <c r="N88" i="17" s="1"/>
  <c r="N89" i="17" a="1"/>
  <c r="N89" i="17" s="1"/>
  <c r="N90" i="17" a="1"/>
  <c r="N90" i="17" s="1"/>
  <c r="N91" i="17" a="1"/>
  <c r="N91" i="17" s="1"/>
  <c r="N92" i="17" a="1"/>
  <c r="N92" i="17" s="1"/>
  <c r="N93" i="17" a="1"/>
  <c r="N93" i="17" s="1"/>
  <c r="N94" i="17" a="1"/>
  <c r="N94" i="17" s="1"/>
  <c r="N95" i="17" a="1"/>
  <c r="N95" i="17" s="1"/>
  <c r="N96" i="17" a="1"/>
  <c r="N96" i="17" s="1"/>
  <c r="N97" i="17" a="1"/>
  <c r="N97" i="17" s="1"/>
  <c r="N98" i="17" a="1"/>
  <c r="N98" i="17"/>
  <c r="N99" i="17" a="1"/>
  <c r="N99" i="17" s="1"/>
  <c r="N100" i="17" a="1"/>
  <c r="N100" i="17" s="1"/>
  <c r="N101" i="17" a="1"/>
  <c r="N101" i="17" s="1"/>
  <c r="N102" i="17" a="1"/>
  <c r="N102" i="17" s="1"/>
  <c r="N103" i="17" a="1"/>
  <c r="N103" i="17" s="1"/>
  <c r="N104" i="17" a="1"/>
  <c r="N104" i="17" s="1"/>
  <c r="N105" i="17" a="1"/>
  <c r="N105" i="17" s="1"/>
  <c r="N106" i="17" a="1"/>
  <c r="N106" i="17" s="1"/>
  <c r="N107" i="17" a="1"/>
  <c r="N107" i="17" s="1"/>
  <c r="N108" i="17" a="1"/>
  <c r="N108" i="17" s="1"/>
  <c r="N109" i="17" a="1"/>
  <c r="N109" i="17" s="1"/>
  <c r="N110" i="17" a="1"/>
  <c r="N110" i="17" s="1"/>
  <c r="N111" i="17" a="1"/>
  <c r="N111" i="17"/>
  <c r="N112" i="17" a="1"/>
  <c r="N112" i="17" s="1"/>
  <c r="N113" i="17" a="1"/>
  <c r="N113" i="17" s="1"/>
  <c r="N114" i="17" a="1"/>
  <c r="N114" i="17" s="1"/>
  <c r="N115" i="17" a="1"/>
  <c r="N115" i="17" s="1"/>
  <c r="N116" i="17" a="1"/>
  <c r="N116" i="17" s="1"/>
  <c r="N117" i="17" a="1"/>
  <c r="N117" i="17" s="1"/>
  <c r="N118" i="17" a="1"/>
  <c r="N118" i="17" s="1"/>
  <c r="N119" i="17" a="1"/>
  <c r="N119" i="17" s="1"/>
  <c r="N120" i="17" a="1"/>
  <c r="N120" i="17" s="1"/>
  <c r="N121" i="17" a="1"/>
  <c r="N121" i="17" s="1"/>
  <c r="N122" i="17" a="1"/>
  <c r="N122" i="17" s="1"/>
  <c r="N123" i="17" a="1"/>
  <c r="N123" i="17" s="1"/>
  <c r="N124" i="17" a="1"/>
  <c r="N124" i="17"/>
  <c r="N125" i="17" a="1"/>
  <c r="N125" i="17" s="1"/>
  <c r="N126" i="17" a="1"/>
  <c r="N126" i="17" s="1"/>
  <c r="N127" i="17" a="1"/>
  <c r="N127" i="17" s="1"/>
  <c r="N128" i="17" a="1"/>
  <c r="N128" i="17" s="1"/>
  <c r="N129" i="17" a="1"/>
  <c r="N129" i="17" s="1"/>
  <c r="N130" i="17" a="1"/>
  <c r="N130" i="17" s="1"/>
  <c r="N131" i="17" a="1"/>
  <c r="N131" i="17" s="1"/>
  <c r="N132" i="17" a="1"/>
  <c r="N132" i="17" s="1"/>
  <c r="N133" i="17" a="1"/>
  <c r="N133" i="17" s="1"/>
  <c r="N134" i="17" a="1"/>
  <c r="N134" i="17" s="1"/>
  <c r="N135" i="17" a="1"/>
  <c r="N135" i="17" s="1"/>
  <c r="N136" i="17" a="1"/>
  <c r="N136" i="17" s="1"/>
  <c r="N137" i="17" a="1"/>
  <c r="N137" i="17" s="1"/>
  <c r="N138" i="17" a="1"/>
  <c r="N138" i="17" s="1"/>
  <c r="N139" i="17" a="1"/>
  <c r="N139" i="17"/>
  <c r="N140" i="17" a="1"/>
  <c r="N140" i="17" s="1"/>
  <c r="N141" i="17" a="1"/>
  <c r="N141" i="17" s="1"/>
  <c r="N142" i="17" a="1"/>
  <c r="N142" i="17" s="1"/>
  <c r="N143" i="17" a="1"/>
  <c r="N143" i="17" s="1"/>
  <c r="N144" i="17" a="1"/>
  <c r="N144" i="17" s="1"/>
  <c r="N145" i="17" a="1"/>
  <c r="N145" i="17" s="1"/>
  <c r="N146" i="17" a="1"/>
  <c r="N146" i="17"/>
  <c r="N147" i="17" a="1"/>
  <c r="N147" i="17" s="1"/>
  <c r="N148" i="17" a="1"/>
  <c r="N148" i="17" s="1"/>
  <c r="N149" i="17" a="1"/>
  <c r="N149" i="17" s="1"/>
  <c r="N150" i="17" a="1"/>
  <c r="N150" i="17" s="1"/>
  <c r="N151" i="17" a="1"/>
  <c r="N151" i="17" s="1"/>
  <c r="N152" i="17" a="1"/>
  <c r="N152" i="17" s="1"/>
  <c r="N153" i="17" a="1"/>
  <c r="N153" i="17" s="1"/>
  <c r="N154" i="17" a="1"/>
  <c r="N154" i="17" s="1"/>
  <c r="N155" i="17" a="1"/>
  <c r="N155" i="17" s="1"/>
  <c r="N156" i="17" a="1"/>
  <c r="N156" i="17" s="1"/>
  <c r="N157" i="17" a="1"/>
  <c r="N157" i="17"/>
  <c r="N158" i="17" a="1"/>
  <c r="N158" i="17" s="1"/>
  <c r="N159" i="17" a="1"/>
  <c r="N159" i="17" s="1"/>
  <c r="N160" i="17" a="1"/>
  <c r="N160" i="17" s="1"/>
  <c r="N161" i="17" a="1"/>
  <c r="N161" i="17" s="1"/>
  <c r="N162" i="17" a="1"/>
  <c r="N162" i="17" s="1"/>
  <c r="N163" i="17" a="1"/>
  <c r="N163" i="17" s="1"/>
  <c r="N164" i="17" a="1"/>
  <c r="N164" i="17" s="1"/>
  <c r="N165" i="17" a="1"/>
  <c r="N165" i="17" s="1"/>
  <c r="N166" i="17" a="1"/>
  <c r="N166" i="17"/>
  <c r="N167" i="17" a="1"/>
  <c r="N167" i="17" s="1"/>
  <c r="N168" i="17" a="1"/>
  <c r="N168" i="17" s="1"/>
  <c r="N169" i="17" a="1"/>
  <c r="N169" i="17" s="1"/>
  <c r="N170" i="17" a="1"/>
  <c r="N170" i="17" s="1"/>
  <c r="N171" i="17" a="1"/>
  <c r="N171" i="17" s="1"/>
  <c r="N172" i="17" a="1"/>
  <c r="N172" i="17" s="1"/>
  <c r="N173" i="17" a="1"/>
  <c r="N173" i="17" s="1"/>
  <c r="N174" i="17" a="1"/>
  <c r="N174" i="17" s="1"/>
  <c r="N175" i="17" a="1"/>
  <c r="N175" i="17"/>
  <c r="N176" i="17" a="1"/>
  <c r="N176" i="17" s="1"/>
  <c r="N177" i="17" a="1"/>
  <c r="N177" i="17" s="1"/>
  <c r="N178" i="17" a="1"/>
  <c r="N178" i="17" s="1"/>
  <c r="N179" i="17" a="1"/>
  <c r="N179" i="17" s="1"/>
  <c r="N180" i="17" a="1"/>
  <c r="N180" i="17" s="1"/>
  <c r="N181" i="17" a="1"/>
  <c r="N181" i="17" s="1"/>
  <c r="N182" i="17" a="1"/>
  <c r="N182" i="17" s="1"/>
  <c r="N183" i="17" a="1"/>
  <c r="N183" i="17" s="1"/>
  <c r="N184" i="17" a="1"/>
  <c r="N184" i="17" s="1"/>
  <c r="N185" i="17" a="1"/>
  <c r="N185" i="17" s="1"/>
  <c r="N186" i="17" a="1"/>
  <c r="N186" i="17" s="1"/>
  <c r="N187" i="17" a="1"/>
  <c r="N187" i="17" s="1"/>
  <c r="N188" i="17" a="1"/>
  <c r="N188" i="17"/>
  <c r="N189" i="17" a="1"/>
  <c r="N189" i="17" s="1"/>
  <c r="N190" i="17" a="1"/>
  <c r="N190" i="17" s="1"/>
  <c r="N191" i="17" a="1"/>
  <c r="N191" i="17"/>
  <c r="N192" i="17" a="1"/>
  <c r="N192" i="17" s="1"/>
  <c r="N193" i="17" a="1"/>
  <c r="N193" i="17" s="1"/>
  <c r="N194" i="17" a="1"/>
  <c r="N194" i="17"/>
  <c r="N195" i="17" a="1"/>
  <c r="N195" i="17" s="1"/>
  <c r="N196" i="17" a="1"/>
  <c r="N196" i="17" s="1"/>
  <c r="N197" i="17" a="1"/>
  <c r="N197" i="17" s="1"/>
  <c r="N198" i="17" a="1"/>
  <c r="N198" i="17"/>
  <c r="N199" i="17" a="1"/>
  <c r="N199" i="17" s="1"/>
  <c r="N200" i="17" a="1"/>
  <c r="N200" i="17" s="1"/>
  <c r="N201" i="17" a="1"/>
  <c r="N201" i="17" s="1"/>
  <c r="N202" i="17" a="1"/>
  <c r="N202" i="17" s="1"/>
  <c r="N203" i="17" a="1"/>
  <c r="N203" i="17" s="1"/>
  <c r="N204" i="17" a="1"/>
  <c r="N204" i="17"/>
  <c r="N205" i="17" a="1"/>
  <c r="N205" i="17" s="1"/>
  <c r="N206" i="17" a="1"/>
  <c r="N206" i="17" s="1"/>
  <c r="N207" i="17" a="1"/>
  <c r="N207" i="17" s="1"/>
  <c r="N208" i="17" a="1"/>
  <c r="N208" i="17" s="1"/>
  <c r="N209" i="17" a="1"/>
  <c r="N209" i="17" s="1"/>
  <c r="N210" i="17" a="1"/>
  <c r="N210" i="17" s="1"/>
  <c r="N211" i="17" a="1"/>
  <c r="N211" i="17"/>
  <c r="N212" i="17" a="1"/>
  <c r="N212" i="17" s="1"/>
  <c r="N213" i="17" a="1"/>
  <c r="N213" i="17" s="1"/>
  <c r="N214" i="17" a="1"/>
  <c r="N214" i="17" s="1"/>
  <c r="N215" i="17" a="1"/>
  <c r="N215" i="17" s="1"/>
  <c r="N216" i="17" a="1"/>
  <c r="N216" i="17" s="1"/>
  <c r="N217" i="17" a="1"/>
  <c r="N217" i="17" s="1"/>
  <c r="N218" i="17" a="1"/>
  <c r="N218" i="17" s="1"/>
  <c r="N219" i="17" a="1"/>
  <c r="N219" i="17" s="1"/>
  <c r="N220" i="17" a="1"/>
  <c r="N220" i="17"/>
  <c r="N221" i="17" a="1"/>
  <c r="N221" i="17" s="1"/>
  <c r="N222" i="17" a="1"/>
  <c r="N222" i="17" s="1"/>
  <c r="N223" i="17" a="1"/>
  <c r="N223" i="17" s="1"/>
  <c r="N224" i="17" a="1"/>
  <c r="N224" i="17" s="1"/>
  <c r="N225" i="17" a="1"/>
  <c r="N225" i="17" s="1"/>
  <c r="N226" i="17" a="1"/>
  <c r="N226" i="17" s="1"/>
  <c r="N227" i="17" a="1"/>
  <c r="N227" i="17"/>
  <c r="N228" i="17" a="1"/>
  <c r="N228" i="17" s="1"/>
  <c r="N229" i="17" a="1"/>
  <c r="N229" i="17" s="1"/>
  <c r="N230" i="17" a="1"/>
  <c r="N230" i="17" s="1"/>
  <c r="N231" i="17" a="1"/>
  <c r="N231" i="17" s="1"/>
  <c r="N232" i="17" a="1"/>
  <c r="N232" i="17" s="1"/>
  <c r="N233" i="17" a="1"/>
  <c r="N233" i="17" s="1"/>
  <c r="N234" i="17" a="1"/>
  <c r="N234" i="17"/>
  <c r="N235" i="17" a="1"/>
  <c r="N235" i="17" s="1"/>
  <c r="N236" i="17" a="1"/>
  <c r="N236" i="17" s="1"/>
  <c r="N237" i="17" a="1"/>
  <c r="N237" i="17" s="1"/>
  <c r="N238" i="17" a="1"/>
  <c r="N238" i="17" s="1"/>
  <c r="N239" i="17" a="1"/>
  <c r="N239" i="17" s="1"/>
  <c r="N240" i="17" a="1"/>
  <c r="N240" i="17" s="1"/>
  <c r="N241" i="17" a="1"/>
  <c r="N241" i="17" s="1"/>
  <c r="N242" i="17" a="1"/>
  <c r="N242" i="17" s="1"/>
  <c r="N243" i="17" a="1"/>
  <c r="N243" i="17"/>
  <c r="N244" i="17" a="1"/>
  <c r="N244" i="17" s="1"/>
  <c r="N245" i="17" a="1"/>
  <c r="N245" i="17" s="1"/>
  <c r="N246" i="17" a="1"/>
  <c r="N246" i="17" s="1"/>
  <c r="N247" i="17" a="1"/>
  <c r="N247" i="17" s="1"/>
  <c r="N248" i="17" a="1"/>
  <c r="N248" i="17" s="1"/>
  <c r="N249" i="17" a="1"/>
  <c r="N249" i="17" s="1"/>
  <c r="N250" i="17" a="1"/>
  <c r="N250" i="17" s="1"/>
  <c r="N251" i="17" a="1"/>
  <c r="N251" i="17" s="1"/>
  <c r="N252" i="17" a="1"/>
  <c r="N252" i="17"/>
  <c r="N253" i="17" a="1"/>
  <c r="N253" i="17" s="1"/>
  <c r="N254" i="17" a="1"/>
  <c r="N254" i="17" s="1"/>
  <c r="N255" i="17" a="1"/>
  <c r="N255" i="17" s="1"/>
  <c r="N256" i="17" a="1"/>
  <c r="N256" i="17" s="1"/>
  <c r="N257" i="17" a="1"/>
  <c r="N257" i="17" s="1"/>
  <c r="N258" i="17" a="1"/>
  <c r="N258" i="17" s="1"/>
  <c r="N259" i="17" a="1"/>
  <c r="N259" i="17" s="1"/>
  <c r="N260" i="17" a="1"/>
  <c r="N260" i="17" s="1"/>
  <c r="N261" i="17" a="1"/>
  <c r="N261" i="17"/>
  <c r="N262" i="17" a="1"/>
  <c r="N262" i="17" s="1"/>
  <c r="N263" i="17" a="1"/>
  <c r="N263" i="17" s="1"/>
  <c r="N264" i="17" a="1"/>
  <c r="N264" i="17" s="1"/>
  <c r="N265" i="17" a="1"/>
  <c r="N265" i="17" s="1"/>
  <c r="N266" i="17" a="1"/>
  <c r="N266" i="17" s="1"/>
  <c r="N267" i="17" a="1"/>
  <c r="N267" i="17" s="1"/>
  <c r="N268" i="17" a="1"/>
  <c r="N268" i="17"/>
  <c r="N269" i="17" a="1"/>
  <c r="N269" i="17" s="1"/>
  <c r="N270" i="17" a="1"/>
  <c r="N270" i="17" s="1"/>
  <c r="N271" i="17" a="1"/>
  <c r="N271" i="17" s="1"/>
  <c r="N272" i="17" a="1"/>
  <c r="N272" i="17" s="1"/>
  <c r="N273" i="17" a="1"/>
  <c r="N273" i="17" s="1"/>
  <c r="N274" i="17" a="1"/>
  <c r="N274" i="17" s="1"/>
  <c r="N275" i="17" a="1"/>
  <c r="N275" i="17" s="1"/>
  <c r="N276" i="17" a="1"/>
  <c r="N276" i="17" s="1"/>
  <c r="N277" i="17" a="1"/>
  <c r="N277" i="17"/>
  <c r="N278" i="17" a="1"/>
  <c r="N278" i="17" s="1"/>
  <c r="N279" i="17" a="1"/>
  <c r="N279" i="17" s="1"/>
  <c r="N280" i="17" a="1"/>
  <c r="N280" i="17" s="1"/>
  <c r="N281" i="17" a="1"/>
  <c r="N281" i="17" s="1"/>
  <c r="N282" i="17" a="1"/>
  <c r="N282" i="17" s="1"/>
  <c r="N283" i="17" a="1"/>
  <c r="N283" i="17" s="1"/>
  <c r="N284" i="17" a="1"/>
  <c r="N284" i="17" s="1"/>
  <c r="N285" i="17" a="1"/>
  <c r="N285" i="17" s="1"/>
  <c r="N286" i="17" a="1"/>
  <c r="N286" i="17"/>
  <c r="N287" i="17" a="1"/>
  <c r="N287" i="17" s="1"/>
  <c r="N288" i="17" a="1"/>
  <c r="N288" i="17" s="1"/>
  <c r="N289" i="17" a="1"/>
  <c r="N289" i="17" s="1"/>
  <c r="N290" i="17" a="1"/>
  <c r="N290" i="17" s="1"/>
  <c r="N291" i="17" a="1"/>
  <c r="N291" i="17" s="1"/>
  <c r="N292" i="17" a="1"/>
  <c r="N292" i="17" s="1"/>
  <c r="N293" i="17" a="1"/>
  <c r="N293" i="17" s="1"/>
  <c r="N294" i="17" a="1"/>
  <c r="N294" i="17" s="1"/>
  <c r="N295" i="17" a="1"/>
  <c r="N295" i="17"/>
  <c r="N296" i="17" a="1"/>
  <c r="N296" i="17" s="1"/>
  <c r="N297" i="17" a="1"/>
  <c r="N297" i="17" s="1"/>
  <c r="N298" i="17" a="1"/>
  <c r="N298" i="17" s="1"/>
  <c r="N299" i="17" a="1"/>
  <c r="N299" i="17" s="1"/>
  <c r="N300" i="17" a="1"/>
  <c r="N300" i="17" s="1"/>
  <c r="N301" i="17" a="1"/>
  <c r="N301" i="17" s="1"/>
  <c r="N302" i="17" a="1"/>
  <c r="N302" i="17" s="1"/>
  <c r="N303" i="17" a="1"/>
  <c r="N303" i="17" s="1"/>
  <c r="N304" i="17" a="1"/>
  <c r="N304" i="17"/>
  <c r="N305" i="17" a="1"/>
  <c r="N305" i="17" s="1"/>
  <c r="N306" i="17" a="1"/>
  <c r="N306" i="17" s="1"/>
  <c r="N307" i="17" a="1"/>
  <c r="N307" i="17" s="1"/>
  <c r="N308" i="17" a="1"/>
  <c r="N308" i="17" s="1"/>
  <c r="N309" i="17" a="1"/>
  <c r="N309" i="17" s="1"/>
  <c r="N310" i="17" a="1"/>
  <c r="N310" i="17" s="1"/>
  <c r="N311" i="17" a="1"/>
  <c r="N311" i="17" s="1"/>
  <c r="N312" i="17" a="1"/>
  <c r="N312" i="17" s="1"/>
  <c r="N313" i="17" a="1"/>
  <c r="N313" i="17" s="1"/>
  <c r="N314" i="17" a="1"/>
  <c r="N314" i="17" s="1"/>
  <c r="N315" i="17" a="1"/>
  <c r="N315" i="17" s="1"/>
  <c r="N316" i="17" a="1"/>
  <c r="N316" i="17" s="1"/>
  <c r="N317" i="17" a="1"/>
  <c r="N317" i="17" s="1"/>
  <c r="N318" i="17" a="1"/>
  <c r="N318" i="17" s="1"/>
  <c r="N319" i="17" a="1"/>
  <c r="N319" i="17"/>
  <c r="N320" i="17" a="1"/>
  <c r="N320" i="17" s="1"/>
  <c r="N321" i="17" a="1"/>
  <c r="N321" i="17" s="1"/>
  <c r="N322" i="17" a="1"/>
  <c r="N322" i="17" s="1"/>
  <c r="N323" i="17" a="1"/>
  <c r="N323" i="17" s="1"/>
  <c r="N324" i="17" a="1"/>
  <c r="N324" i="17" s="1"/>
  <c r="N325" i="17" a="1"/>
  <c r="N325" i="17" s="1"/>
  <c r="N326" i="17" a="1"/>
  <c r="N326" i="17" s="1"/>
  <c r="N327" i="17" a="1"/>
  <c r="N327" i="17" s="1"/>
  <c r="N328" i="17" a="1"/>
  <c r="N328" i="17" s="1"/>
  <c r="N329" i="17" a="1"/>
  <c r="N329" i="17" s="1"/>
  <c r="N330" i="17" a="1"/>
  <c r="N330" i="17" s="1"/>
  <c r="N331" i="17" a="1"/>
  <c r="N331" i="17" s="1"/>
  <c r="N332" i="17" a="1"/>
  <c r="N332" i="17" s="1"/>
  <c r="N333" i="17" a="1"/>
  <c r="N333" i="17" s="1"/>
  <c r="N334" i="17" a="1"/>
  <c r="N334" i="17"/>
  <c r="N335" i="17" a="1"/>
  <c r="N335" i="17" s="1"/>
  <c r="N336" i="17" a="1"/>
  <c r="N336" i="17" s="1"/>
  <c r="N337" i="17" a="1"/>
  <c r="N337" i="17" s="1"/>
  <c r="N338" i="17" a="1"/>
  <c r="N338" i="17" s="1"/>
  <c r="N339" i="17" a="1"/>
  <c r="N339" i="17" s="1"/>
  <c r="N340" i="17" a="1"/>
  <c r="N340" i="17" s="1"/>
  <c r="N341" i="17" a="1"/>
  <c r="N341" i="17" s="1"/>
  <c r="N342" i="17" a="1"/>
  <c r="N342" i="17" s="1"/>
  <c r="N343" i="17" a="1"/>
  <c r="N343" i="17" s="1"/>
  <c r="N344" i="17" a="1"/>
  <c r="N344" i="17" s="1"/>
  <c r="N345" i="17" a="1"/>
  <c r="N345" i="17"/>
  <c r="N346" i="17" a="1"/>
  <c r="N346" i="17" s="1"/>
  <c r="N347" i="17" a="1"/>
  <c r="N347" i="17" s="1"/>
  <c r="N348" i="17" a="1"/>
  <c r="N348" i="17" s="1"/>
  <c r="N349" i="17" a="1"/>
  <c r="N349" i="17" s="1"/>
  <c r="N350" i="17" a="1"/>
  <c r="N350" i="17" s="1"/>
  <c r="N351" i="17" a="1"/>
  <c r="N351" i="17" s="1"/>
  <c r="N352" i="17" a="1"/>
  <c r="N352" i="17" s="1"/>
  <c r="N353" i="17" a="1"/>
  <c r="N353" i="17" s="1"/>
  <c r="N354" i="17" a="1"/>
  <c r="N354" i="17" s="1"/>
  <c r="N355" i="17" a="1"/>
  <c r="N355" i="17" s="1"/>
  <c r="N356" i="17" a="1"/>
  <c r="N356" i="17" s="1"/>
  <c r="N357" i="17" a="1"/>
  <c r="N357" i="17" s="1"/>
  <c r="N358" i="17" a="1"/>
  <c r="N358" i="17" s="1"/>
  <c r="N359" i="17" a="1"/>
  <c r="N359" i="17" s="1"/>
  <c r="N360" i="17" a="1"/>
  <c r="N360" i="17"/>
  <c r="N361" i="17" a="1"/>
  <c r="N361" i="17" s="1"/>
  <c r="N362" i="17" a="1"/>
  <c r="N362" i="17" s="1"/>
  <c r="N363" i="17" a="1"/>
  <c r="N363" i="17" s="1"/>
  <c r="N364" i="17" a="1"/>
  <c r="N364" i="17" s="1"/>
  <c r="N365" i="17" a="1"/>
  <c r="N365" i="17" s="1"/>
  <c r="N366" i="17" a="1"/>
  <c r="N366" i="17" s="1"/>
  <c r="N367" i="17" a="1"/>
  <c r="N367" i="17" s="1"/>
  <c r="N368" i="17" a="1"/>
  <c r="N368" i="17" s="1"/>
  <c r="N369" i="17" a="1"/>
  <c r="N369" i="17" s="1"/>
  <c r="N370" i="17" a="1"/>
  <c r="N370" i="17" s="1"/>
  <c r="N371" i="17" a="1"/>
  <c r="N371" i="17" s="1"/>
  <c r="N372" i="17" a="1"/>
  <c r="N372" i="17" s="1"/>
  <c r="N373" i="17" a="1"/>
  <c r="N373" i="17" s="1"/>
  <c r="N374" i="17" a="1"/>
  <c r="N374" i="17" s="1"/>
  <c r="N375" i="17" a="1"/>
  <c r="N375" i="17"/>
  <c r="N376" i="17" a="1"/>
  <c r="N376" i="17" s="1"/>
  <c r="N377" i="17" a="1"/>
  <c r="N377" i="17" s="1"/>
  <c r="N378" i="17" a="1"/>
  <c r="N378" i="17" s="1"/>
  <c r="N379" i="17" a="1"/>
  <c r="N379" i="17" s="1"/>
  <c r="N380" i="17" a="1"/>
  <c r="N380" i="17" s="1"/>
  <c r="N381" i="17" a="1"/>
  <c r="N381" i="17" s="1"/>
  <c r="N382" i="17" a="1"/>
  <c r="N382" i="17"/>
  <c r="N383" i="17" a="1"/>
  <c r="N383" i="17"/>
  <c r="N384" i="17" a="1"/>
  <c r="N384" i="17" s="1"/>
  <c r="N385" i="17" a="1"/>
  <c r="N385" i="17" s="1"/>
  <c r="N386" i="17" a="1"/>
  <c r="N386" i="17" s="1"/>
  <c r="N387" i="17" a="1"/>
  <c r="N387" i="17" s="1"/>
  <c r="N388" i="17" a="1"/>
  <c r="N388" i="17" s="1"/>
  <c r="N389" i="17" a="1"/>
  <c r="N389" i="17"/>
  <c r="N390" i="17" a="1"/>
  <c r="N390" i="17" s="1"/>
  <c r="N391" i="17" a="1"/>
  <c r="N391" i="17" s="1"/>
  <c r="N392" i="17" a="1"/>
  <c r="N392" i="17" s="1"/>
  <c r="N393" i="17" a="1"/>
  <c r="N393" i="17" s="1"/>
  <c r="N394" i="17" a="1"/>
  <c r="N394" i="17" s="1"/>
  <c r="N395" i="17" a="1"/>
  <c r="N395" i="17" s="1"/>
  <c r="N396" i="17" a="1"/>
  <c r="N396" i="17" s="1"/>
  <c r="N397" i="17" a="1"/>
  <c r="N397" i="17" s="1"/>
  <c r="N398" i="17" a="1"/>
  <c r="N398" i="17" s="1"/>
  <c r="N399" i="17" a="1"/>
  <c r="N399" i="17"/>
  <c r="N400" i="17" a="1"/>
  <c r="N400" i="17" s="1"/>
  <c r="N401" i="17" a="1"/>
  <c r="N401" i="17" s="1"/>
  <c r="N402" i="17" a="1"/>
  <c r="N402" i="17" s="1"/>
  <c r="N403" i="17" a="1"/>
  <c r="N403" i="17" s="1"/>
  <c r="N404" i="17" a="1"/>
  <c r="N404" i="17" s="1"/>
  <c r="N405" i="17" a="1"/>
  <c r="N405" i="17" s="1"/>
  <c r="N406" i="17" a="1"/>
  <c r="N406" i="17" s="1"/>
  <c r="N407" i="17" a="1"/>
  <c r="N407" i="17" s="1"/>
  <c r="N408" i="17" a="1"/>
  <c r="N408" i="17" s="1"/>
  <c r="N409" i="17" a="1"/>
  <c r="N409" i="17" s="1"/>
  <c r="N410" i="17" a="1"/>
  <c r="N410" i="17"/>
  <c r="N411" i="17" a="1"/>
  <c r="N411" i="17" s="1"/>
  <c r="N412" i="17" a="1"/>
  <c r="N412" i="17" s="1"/>
  <c r="N413" i="17" a="1"/>
  <c r="N413" i="17" s="1"/>
  <c r="N414" i="17" a="1"/>
  <c r="N414" i="17" s="1"/>
  <c r="N415" i="17" a="1"/>
  <c r="N415" i="17" s="1"/>
  <c r="N416" i="17" a="1"/>
  <c r="N416" i="17" s="1"/>
  <c r="N417" i="17" a="1"/>
  <c r="N417" i="17" s="1"/>
  <c r="N418" i="17" a="1"/>
  <c r="N418" i="17" s="1"/>
  <c r="N419" i="17" a="1"/>
  <c r="N419" i="17" s="1"/>
  <c r="N420" i="17" a="1"/>
  <c r="N420" i="17" s="1"/>
  <c r="N421" i="17" a="1"/>
  <c r="N421" i="17" s="1"/>
  <c r="N422" i="17" a="1"/>
  <c r="N422" i="17" s="1"/>
  <c r="N423" i="17" a="1"/>
  <c r="N423" i="17"/>
  <c r="N424" i="17" a="1"/>
  <c r="N424" i="17" s="1"/>
  <c r="N425" i="17" a="1"/>
  <c r="N425" i="17" s="1"/>
  <c r="N426" i="17" a="1"/>
  <c r="N426" i="17" s="1"/>
  <c r="N427" i="17" a="1"/>
  <c r="N427" i="17" s="1"/>
  <c r="N428" i="17" a="1"/>
  <c r="N428" i="17" s="1"/>
  <c r="N429" i="17" a="1"/>
  <c r="N429" i="17" s="1"/>
  <c r="N430" i="17" a="1"/>
  <c r="N430" i="17" s="1"/>
  <c r="N431" i="17" a="1"/>
  <c r="N431" i="17" s="1"/>
  <c r="N432" i="17" a="1"/>
  <c r="N432" i="17"/>
  <c r="N433" i="17" a="1"/>
  <c r="N433" i="17" s="1"/>
  <c r="N434" i="17" a="1"/>
  <c r="N434" i="17" s="1"/>
  <c r="N435" i="17" a="1"/>
  <c r="N435" i="17" s="1"/>
  <c r="N436" i="17" a="1"/>
  <c r="N436" i="17" s="1"/>
  <c r="N437" i="17" a="1"/>
  <c r="N437" i="17" s="1"/>
  <c r="N438" i="17" a="1"/>
  <c r="N438" i="17" s="1"/>
  <c r="N439" i="17" a="1"/>
  <c r="N439" i="17" s="1"/>
  <c r="N440" i="17" a="1"/>
  <c r="N440" i="17" s="1"/>
  <c r="N441" i="17" a="1"/>
  <c r="N441" i="17" s="1"/>
  <c r="N442" i="17" a="1"/>
  <c r="N442" i="17" s="1"/>
  <c r="N443" i="17" a="1"/>
  <c r="N443" i="17" s="1"/>
  <c r="N444" i="17" a="1"/>
  <c r="N444" i="17" s="1"/>
  <c r="N445" i="17" a="1"/>
  <c r="N445" i="17" s="1"/>
  <c r="N446" i="17" a="1"/>
  <c r="N446" i="17" s="1"/>
  <c r="N447" i="17" a="1"/>
  <c r="N447" i="17"/>
  <c r="N448" i="17" a="1"/>
  <c r="N448" i="17" s="1"/>
  <c r="N449" i="17" a="1"/>
  <c r="N449" i="17" s="1"/>
  <c r="N450" i="17" a="1"/>
  <c r="N450" i="17" s="1"/>
  <c r="N451" i="17" a="1"/>
  <c r="N451" i="17" s="1"/>
  <c r="N452" i="17" a="1"/>
  <c r="N452" i="17" s="1"/>
  <c r="N453" i="17" a="1"/>
  <c r="N453" i="17" s="1"/>
  <c r="N454" i="17" a="1"/>
  <c r="N454" i="17" s="1"/>
  <c r="N455" i="17" a="1"/>
  <c r="N455" i="17" s="1"/>
  <c r="N456" i="17" a="1"/>
  <c r="N456" i="17" s="1"/>
  <c r="N457" i="17" a="1"/>
  <c r="N457" i="17" s="1"/>
  <c r="N458" i="17" a="1"/>
  <c r="N458" i="17" s="1"/>
  <c r="N459" i="17" a="1"/>
  <c r="N459" i="17" s="1"/>
  <c r="N460" i="17" a="1"/>
  <c r="N460" i="17"/>
  <c r="N461" i="17" a="1"/>
  <c r="N461" i="17" s="1"/>
  <c r="N462" i="17" a="1"/>
  <c r="N462" i="17" s="1"/>
  <c r="N463" i="17" a="1"/>
  <c r="N463" i="17" s="1"/>
  <c r="N464" i="17" a="1"/>
  <c r="N464" i="17" s="1"/>
  <c r="N465" i="17" a="1"/>
  <c r="N465" i="17" s="1"/>
  <c r="N466" i="17" a="1"/>
  <c r="N466" i="17" s="1"/>
  <c r="N467" i="17" a="1"/>
  <c r="N467" i="17" s="1"/>
  <c r="N468" i="17" a="1"/>
  <c r="N468" i="17" s="1"/>
  <c r="N469" i="17" a="1"/>
  <c r="N469" i="17" s="1"/>
  <c r="N470" i="17" a="1"/>
  <c r="N470" i="17" s="1"/>
  <c r="N471" i="17" a="1"/>
  <c r="N471" i="17" s="1"/>
  <c r="N472" i="17" a="1"/>
  <c r="N472" i="17" s="1"/>
  <c r="N473" i="17" a="1"/>
  <c r="N473" i="17" s="1"/>
  <c r="N474" i="17" a="1"/>
  <c r="N474" i="17" s="1"/>
  <c r="N475" i="17" a="1"/>
  <c r="N475" i="17" s="1"/>
  <c r="N476" i="17" a="1"/>
  <c r="N476" i="17" s="1"/>
  <c r="N477" i="17" a="1"/>
  <c r="N477" i="17" s="1"/>
  <c r="N478" i="17" a="1"/>
  <c r="N478" i="17" s="1"/>
  <c r="N479" i="17" a="1"/>
  <c r="N479" i="17" s="1"/>
  <c r="N480" i="17" a="1"/>
  <c r="N480" i="17"/>
  <c r="N481" i="17" a="1"/>
  <c r="N481" i="17" s="1"/>
  <c r="N482" i="17" a="1"/>
  <c r="N482" i="17" s="1"/>
  <c r="N483" i="17" a="1"/>
  <c r="N483" i="17" s="1"/>
  <c r="N484" i="17" a="1"/>
  <c r="N484" i="17" s="1"/>
  <c r="N485" i="17" a="1"/>
  <c r="N485" i="17" s="1"/>
  <c r="N486" i="17" a="1"/>
  <c r="N486" i="17" s="1"/>
  <c r="N487" i="17" a="1"/>
  <c r="N487" i="17"/>
  <c r="N488" i="17" a="1"/>
  <c r="N488" i="17" s="1"/>
  <c r="N489" i="17" a="1"/>
  <c r="N489" i="17" s="1"/>
  <c r="N490" i="17" a="1"/>
  <c r="N490" i="17" s="1"/>
  <c r="N491" i="17" a="1"/>
  <c r="N491" i="17" s="1"/>
  <c r="N492" i="17" a="1"/>
  <c r="N492" i="17" s="1"/>
  <c r="N493" i="17" a="1"/>
  <c r="N493" i="17" s="1"/>
  <c r="N494" i="17" a="1"/>
  <c r="N494" i="17"/>
  <c r="N495" i="17" a="1"/>
  <c r="N495" i="17" s="1"/>
  <c r="N496" i="17" a="1"/>
  <c r="N496" i="17" s="1"/>
  <c r="N497" i="17" a="1"/>
  <c r="N497" i="17" s="1"/>
  <c r="N498" i="17" a="1"/>
  <c r="N498" i="17" s="1"/>
  <c r="N499" i="17" a="1"/>
  <c r="N499" i="17" s="1"/>
  <c r="N500" i="17" a="1"/>
  <c r="N500" i="17" s="1"/>
  <c r="N501" i="17" a="1"/>
  <c r="N501" i="17" s="1"/>
  <c r="N502" i="17" a="1"/>
  <c r="N502" i="17" s="1"/>
  <c r="N503" i="17" a="1"/>
  <c r="N503" i="17" s="1"/>
  <c r="N504" i="17" a="1"/>
  <c r="N504" i="17" s="1"/>
  <c r="N505" i="17" a="1"/>
  <c r="N505" i="17" s="1"/>
  <c r="N506" i="17" a="1"/>
  <c r="N506" i="17" s="1"/>
  <c r="N507" i="17" a="1"/>
  <c r="N507" i="17" s="1"/>
  <c r="N508" i="17" a="1"/>
  <c r="N508" i="17" s="1"/>
  <c r="N509" i="17" a="1"/>
  <c r="N509" i="17" s="1"/>
  <c r="N510" i="17" a="1"/>
  <c r="N510" i="17" s="1"/>
  <c r="N511" i="17" a="1"/>
  <c r="N511" i="17" s="1"/>
  <c r="N512" i="17" a="1"/>
  <c r="N512" i="17"/>
  <c r="N513" i="17" a="1"/>
  <c r="N513" i="17" s="1"/>
  <c r="N514" i="17" a="1"/>
  <c r="N514" i="17" s="1"/>
  <c r="N515" i="17" a="1"/>
  <c r="N515" i="17" s="1"/>
  <c r="N516" i="17" a="1"/>
  <c r="N516" i="17" s="1"/>
  <c r="N517" i="17" a="1"/>
  <c r="N517" i="17" s="1"/>
  <c r="N518" i="17" a="1"/>
  <c r="N518" i="17" s="1"/>
  <c r="N519" i="17" a="1"/>
  <c r="N519" i="17" s="1"/>
  <c r="N520" i="17" a="1"/>
  <c r="N520" i="17" s="1"/>
  <c r="N521" i="17" a="1"/>
  <c r="N521" i="17" s="1"/>
  <c r="N522" i="17" a="1"/>
  <c r="N522" i="17" s="1"/>
  <c r="N523" i="17" a="1"/>
  <c r="N523" i="17" s="1"/>
  <c r="N524" i="17" a="1"/>
  <c r="N524" i="17" s="1"/>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M504" i="17"/>
  <c r="M505" i="17"/>
  <c r="M506" i="17"/>
  <c r="M507" i="17"/>
  <c r="M508" i="17"/>
  <c r="M509" i="17"/>
  <c r="M510" i="17"/>
  <c r="M511" i="17"/>
  <c r="M512" i="17"/>
  <c r="M513" i="17"/>
  <c r="M514" i="17"/>
  <c r="M515" i="17"/>
  <c r="M516" i="17"/>
  <c r="M517" i="17"/>
  <c r="M518" i="17"/>
  <c r="M519" i="17"/>
  <c r="M520" i="17"/>
  <c r="M521" i="17"/>
  <c r="M522" i="17"/>
  <c r="M523" i="17"/>
  <c r="M524" i="17"/>
  <c r="M525" i="17"/>
  <c r="M526" i="17"/>
  <c r="M527" i="17"/>
  <c r="M528" i="17"/>
  <c r="M529" i="17"/>
  <c r="M530" i="17"/>
  <c r="M531" i="17"/>
  <c r="M532" i="17"/>
  <c r="M533" i="17"/>
  <c r="M534" i="17"/>
  <c r="M535" i="17"/>
  <c r="M536" i="17"/>
  <c r="M537" i="17"/>
  <c r="M538" i="17"/>
  <c r="M539" i="17"/>
  <c r="M540" i="17"/>
  <c r="M541" i="17"/>
  <c r="M542" i="17"/>
  <c r="M543" i="17"/>
  <c r="M544" i="17"/>
  <c r="M545" i="17"/>
  <c r="M546" i="17"/>
  <c r="M547" i="17"/>
  <c r="M548" i="17"/>
  <c r="M549" i="17"/>
  <c r="M550" i="17"/>
  <c r="M551" i="17"/>
  <c r="M552" i="17"/>
  <c r="M553" i="17"/>
  <c r="M554" i="17"/>
  <c r="M555" i="17"/>
  <c r="M556" i="17"/>
  <c r="M557" i="17"/>
  <c r="M558" i="17"/>
  <c r="M559" i="17"/>
  <c r="M560" i="17"/>
  <c r="M561" i="17"/>
  <c r="M562" i="17"/>
  <c r="M563" i="17"/>
  <c r="M564" i="17"/>
  <c r="M565" i="17"/>
  <c r="M566" i="17"/>
  <c r="M567" i="17"/>
  <c r="M568" i="17"/>
  <c r="M569" i="17"/>
  <c r="M570" i="17"/>
  <c r="M571" i="17"/>
  <c r="M572" i="17"/>
  <c r="M573" i="17"/>
  <c r="M574" i="17"/>
  <c r="M575" i="17"/>
  <c r="M576" i="17"/>
  <c r="M577" i="17"/>
  <c r="M578" i="17"/>
  <c r="M579" i="17"/>
  <c r="M580" i="17"/>
  <c r="M581" i="17"/>
  <c r="M582" i="17"/>
  <c r="M583" i="17"/>
  <c r="M584" i="17"/>
  <c r="M585" i="17"/>
  <c r="M586" i="17"/>
  <c r="M587" i="17"/>
  <c r="M588" i="17"/>
  <c r="M589" i="17"/>
  <c r="M590" i="17"/>
  <c r="M591" i="17"/>
  <c r="M592" i="17"/>
  <c r="M593" i="17"/>
  <c r="M594" i="17"/>
  <c r="M595" i="17"/>
  <c r="M596" i="17"/>
  <c r="M597" i="17"/>
  <c r="M598" i="17"/>
  <c r="M599" i="17"/>
  <c r="M600" i="17"/>
  <c r="M601" i="17"/>
  <c r="M602" i="17"/>
  <c r="M603" i="17"/>
  <c r="M604" i="17"/>
  <c r="M605" i="17"/>
  <c r="M606" i="17"/>
  <c r="M607" i="17"/>
  <c r="M608" i="17"/>
  <c r="M609" i="17"/>
  <c r="M610" i="17"/>
  <c r="M611" i="17"/>
  <c r="M612" i="17"/>
  <c r="M613" i="17"/>
  <c r="M614" i="17"/>
  <c r="M615" i="17"/>
  <c r="M616" i="17"/>
  <c r="M617" i="17"/>
  <c r="M618" i="17"/>
  <c r="M619" i="17"/>
  <c r="M620" i="17"/>
  <c r="M621" i="17"/>
  <c r="M622" i="17"/>
  <c r="M623" i="17"/>
  <c r="M624" i="17"/>
  <c r="M625" i="17"/>
  <c r="M626" i="17"/>
  <c r="M627" i="17"/>
  <c r="M628" i="17"/>
  <c r="M629" i="17"/>
  <c r="M630" i="17"/>
  <c r="M631" i="17"/>
  <c r="M632" i="17"/>
  <c r="M633" i="17"/>
  <c r="M634" i="17"/>
  <c r="M635" i="17"/>
  <c r="M636" i="17"/>
  <c r="M637" i="17"/>
  <c r="M638" i="17"/>
  <c r="M639" i="17"/>
  <c r="M640" i="17"/>
  <c r="M641" i="17"/>
  <c r="M642" i="17"/>
  <c r="M643" i="17"/>
  <c r="M644" i="17"/>
  <c r="M645" i="17"/>
  <c r="M646" i="17"/>
  <c r="M647" i="17"/>
  <c r="M648" i="17"/>
  <c r="M649" i="17"/>
  <c r="M650" i="17"/>
  <c r="M651" i="17"/>
  <c r="M652" i="17"/>
  <c r="M653" i="17"/>
  <c r="M654" i="17"/>
  <c r="M655" i="17"/>
  <c r="M656" i="17"/>
  <c r="M657" i="17"/>
  <c r="M658" i="17"/>
  <c r="M659" i="17"/>
  <c r="M660" i="17"/>
  <c r="M661" i="17"/>
  <c r="M662" i="17"/>
  <c r="M663" i="17"/>
  <c r="M664" i="17"/>
  <c r="M665" i="17"/>
  <c r="M666" i="17"/>
  <c r="M667" i="17"/>
  <c r="M668" i="17"/>
  <c r="M669" i="17"/>
  <c r="M670" i="17"/>
  <c r="M671" i="17"/>
  <c r="M672" i="17"/>
  <c r="M673" i="17"/>
  <c r="M674" i="17"/>
  <c r="M675" i="17"/>
  <c r="M676" i="17"/>
  <c r="M677" i="17"/>
  <c r="M678" i="17"/>
  <c r="M679" i="17"/>
  <c r="M680" i="17"/>
  <c r="M681" i="17"/>
  <c r="M682" i="17"/>
  <c r="M683" i="17"/>
  <c r="M684" i="17"/>
  <c r="M685" i="17"/>
  <c r="M686" i="17"/>
  <c r="M687" i="17"/>
  <c r="M688" i="17"/>
  <c r="M689" i="17"/>
  <c r="M690" i="17"/>
  <c r="M691" i="17"/>
  <c r="M692" i="17"/>
  <c r="M693" i="17"/>
  <c r="M694" i="17"/>
  <c r="M695" i="17"/>
  <c r="M696" i="17"/>
  <c r="M697" i="17"/>
  <c r="M698" i="17"/>
  <c r="M699" i="17"/>
  <c r="M700" i="17"/>
  <c r="M701" i="17"/>
  <c r="M702" i="17"/>
  <c r="M703" i="17"/>
  <c r="M704" i="17"/>
  <c r="M705" i="17"/>
  <c r="M706" i="17"/>
  <c r="M707" i="17"/>
  <c r="M708" i="17"/>
  <c r="M709" i="17"/>
  <c r="M710" i="17"/>
  <c r="M711" i="17"/>
  <c r="M712" i="17"/>
  <c r="M713" i="17"/>
  <c r="M714" i="17"/>
  <c r="M715" i="17"/>
  <c r="M716" i="17"/>
  <c r="M717" i="17"/>
  <c r="M718" i="17"/>
  <c r="M719" i="17"/>
  <c r="M720" i="17"/>
  <c r="M721" i="17"/>
  <c r="M722" i="17"/>
  <c r="M723" i="17"/>
  <c r="M724" i="17"/>
  <c r="M725" i="17"/>
  <c r="M726" i="17"/>
  <c r="M727" i="17"/>
  <c r="M728" i="17"/>
  <c r="M729" i="17"/>
  <c r="M730" i="17"/>
  <c r="M731" i="17"/>
  <c r="M732" i="17"/>
  <c r="M733" i="17"/>
  <c r="M734" i="17"/>
  <c r="M735" i="17"/>
  <c r="M736" i="17"/>
  <c r="M737" i="17"/>
  <c r="M738" i="17"/>
  <c r="M739" i="17"/>
  <c r="M740" i="17"/>
  <c r="M741" i="17"/>
  <c r="M742" i="17"/>
  <c r="M743" i="17"/>
  <c r="M744" i="17"/>
  <c r="M745" i="17"/>
  <c r="M746" i="17"/>
  <c r="M747" i="17"/>
  <c r="M748" i="17"/>
  <c r="M749" i="17"/>
  <c r="M750" i="17"/>
  <c r="M751" i="17"/>
  <c r="M752" i="17"/>
  <c r="M753" i="17"/>
  <c r="M754" i="17"/>
  <c r="M755" i="17"/>
  <c r="M756" i="17"/>
  <c r="M757" i="17"/>
  <c r="M758" i="17"/>
  <c r="M759" i="17"/>
  <c r="M760" i="17"/>
  <c r="M761" i="17"/>
  <c r="M762" i="17"/>
  <c r="M763" i="17"/>
  <c r="M764" i="17"/>
  <c r="M765" i="17"/>
  <c r="M766" i="17"/>
  <c r="M767" i="17"/>
  <c r="M768" i="17"/>
  <c r="M769" i="17"/>
  <c r="M770" i="17"/>
  <c r="M771" i="17"/>
  <c r="M772" i="17"/>
  <c r="M773" i="17"/>
  <c r="M774" i="17"/>
  <c r="M775" i="17"/>
  <c r="M776" i="17"/>
  <c r="M777" i="17"/>
  <c r="M778" i="17"/>
  <c r="M779" i="17"/>
  <c r="M780" i="17"/>
  <c r="M781" i="17"/>
  <c r="M782" i="17"/>
  <c r="M783" i="17"/>
  <c r="M784" i="17"/>
  <c r="M785" i="17"/>
  <c r="M786" i="17"/>
  <c r="M787" i="17"/>
  <c r="M788" i="17"/>
  <c r="M789" i="17"/>
  <c r="M790" i="17"/>
  <c r="M791" i="17"/>
  <c r="M792" i="17"/>
  <c r="M793" i="17"/>
  <c r="M794" i="17"/>
  <c r="M795" i="17"/>
  <c r="M796" i="17"/>
  <c r="M797" i="17"/>
  <c r="M798" i="17"/>
  <c r="M799" i="17"/>
  <c r="M800" i="17"/>
  <c r="M801" i="17"/>
  <c r="M802" i="17"/>
  <c r="M803" i="17"/>
  <c r="M804" i="17"/>
  <c r="M805" i="17"/>
  <c r="M806" i="17"/>
  <c r="M807" i="17"/>
  <c r="M808" i="17"/>
  <c r="M809" i="17"/>
  <c r="M810" i="17"/>
  <c r="M811" i="17"/>
  <c r="M812" i="17"/>
  <c r="M813" i="17"/>
  <c r="M814" i="17"/>
  <c r="M815" i="17"/>
  <c r="M816" i="17"/>
  <c r="M817" i="17"/>
  <c r="M818" i="17"/>
  <c r="M819" i="17"/>
  <c r="M820" i="17"/>
  <c r="M821" i="17"/>
  <c r="M822" i="17"/>
  <c r="M823" i="17"/>
  <c r="M824" i="17"/>
  <c r="M825" i="17"/>
  <c r="M826" i="17"/>
  <c r="M827" i="17"/>
  <c r="M828" i="17"/>
  <c r="M829" i="17"/>
  <c r="M830" i="17"/>
  <c r="M831" i="17"/>
  <c r="M832" i="17"/>
  <c r="M833" i="17"/>
  <c r="M834" i="17"/>
  <c r="M835" i="17"/>
  <c r="M836" i="17"/>
  <c r="M837" i="17"/>
  <c r="M838" i="17"/>
  <c r="M839" i="17"/>
  <c r="M840" i="17"/>
  <c r="M841" i="17"/>
  <c r="M842" i="17"/>
  <c r="M843" i="17"/>
  <c r="M844" i="17"/>
  <c r="M845" i="17"/>
  <c r="M846" i="17"/>
  <c r="M847" i="17"/>
  <c r="M848" i="17"/>
  <c r="M849" i="17"/>
  <c r="M850" i="17"/>
  <c r="M851" i="17"/>
  <c r="M852" i="17"/>
  <c r="M853" i="17"/>
  <c r="M854" i="17"/>
  <c r="M855" i="17"/>
  <c r="M856" i="17"/>
  <c r="M857" i="17"/>
  <c r="M858" i="17"/>
  <c r="M859" i="17"/>
  <c r="M860" i="17"/>
  <c r="M861" i="17"/>
  <c r="M862" i="17"/>
  <c r="M863" i="17"/>
  <c r="M864" i="17"/>
  <c r="M865" i="17"/>
  <c r="M866" i="17"/>
  <c r="M867" i="17"/>
  <c r="M868" i="17"/>
  <c r="M869" i="17"/>
  <c r="M870" i="17"/>
  <c r="M871" i="17"/>
  <c r="M872" i="17"/>
  <c r="M873" i="17"/>
  <c r="M874" i="17"/>
  <c r="M875" i="17"/>
  <c r="M876" i="17"/>
  <c r="M877" i="17"/>
  <c r="M878" i="17"/>
  <c r="M879" i="17"/>
  <c r="M880" i="17"/>
  <c r="M881" i="17"/>
  <c r="M882" i="17"/>
  <c r="M883" i="17"/>
  <c r="M884" i="17"/>
  <c r="M885" i="17"/>
  <c r="M886" i="17"/>
  <c r="M887" i="17"/>
  <c r="M888" i="17"/>
  <c r="M889" i="17"/>
  <c r="M890" i="17"/>
  <c r="M891" i="17"/>
  <c r="M892" i="17"/>
  <c r="M893" i="17"/>
  <c r="M894" i="17"/>
  <c r="M895" i="17"/>
  <c r="M896" i="17"/>
  <c r="M897" i="17"/>
  <c r="M898" i="17"/>
  <c r="M899" i="17"/>
  <c r="M900" i="17"/>
  <c r="M901" i="17"/>
  <c r="M902" i="17"/>
  <c r="M903" i="17"/>
  <c r="M904" i="17"/>
  <c r="M905" i="17"/>
  <c r="M906" i="17"/>
  <c r="M907" i="17"/>
  <c r="M908" i="17"/>
  <c r="M909" i="17"/>
  <c r="M910" i="17"/>
  <c r="M911" i="17"/>
  <c r="M912" i="17"/>
  <c r="M913" i="17"/>
  <c r="M914" i="17"/>
  <c r="M915" i="17"/>
  <c r="M916" i="17"/>
  <c r="M917" i="17"/>
  <c r="M918" i="17"/>
  <c r="M919" i="17"/>
  <c r="M920" i="17"/>
  <c r="M921" i="17"/>
  <c r="M922" i="17"/>
  <c r="M923" i="17"/>
  <c r="M924" i="17"/>
  <c r="M925" i="17"/>
  <c r="M926" i="17"/>
  <c r="M927" i="17"/>
  <c r="M928" i="17"/>
  <c r="M929" i="17"/>
  <c r="M930" i="17"/>
  <c r="M931" i="17"/>
  <c r="M932" i="17"/>
  <c r="M933" i="17"/>
  <c r="M934" i="17"/>
  <c r="M935" i="17"/>
  <c r="M936" i="17"/>
  <c r="M937" i="17"/>
  <c r="M938" i="17"/>
  <c r="M939" i="17"/>
  <c r="M940" i="17"/>
  <c r="M941" i="17"/>
  <c r="M942" i="17"/>
  <c r="M943" i="17"/>
  <c r="M944" i="17"/>
  <c r="M945" i="17"/>
  <c r="M946" i="17"/>
  <c r="M947" i="17"/>
  <c r="M948" i="17"/>
  <c r="M949" i="17"/>
  <c r="M950" i="17"/>
  <c r="M951" i="17"/>
  <c r="M952" i="17"/>
  <c r="M953" i="17"/>
  <c r="M954" i="17"/>
  <c r="M955" i="17"/>
  <c r="M956" i="17"/>
  <c r="M957" i="17"/>
  <c r="M958" i="17"/>
  <c r="M959" i="17"/>
  <c r="M960" i="17"/>
  <c r="M961" i="17"/>
  <c r="M962" i="17"/>
  <c r="M963" i="17"/>
  <c r="M964" i="17"/>
  <c r="M965" i="17"/>
  <c r="M966" i="17"/>
  <c r="M967" i="17"/>
  <c r="M968" i="17"/>
  <c r="M969" i="17"/>
  <c r="M970" i="17"/>
  <c r="M971" i="17"/>
  <c r="M972" i="17"/>
  <c r="M973" i="17"/>
  <c r="M974" i="17"/>
  <c r="M975" i="17"/>
  <c r="M976" i="17"/>
  <c r="M977" i="17"/>
  <c r="M978" i="17"/>
  <c r="M979" i="17"/>
  <c r="M980" i="17"/>
  <c r="M981" i="17"/>
  <c r="M982" i="17"/>
  <c r="M983" i="17"/>
  <c r="M984" i="17"/>
  <c r="M985" i="17"/>
  <c r="M986" i="17"/>
  <c r="M987" i="17"/>
  <c r="M988" i="17"/>
  <c r="M989" i="17"/>
  <c r="M990" i="17"/>
  <c r="M991" i="17"/>
  <c r="M992" i="17"/>
  <c r="M993" i="17"/>
  <c r="M994" i="17"/>
  <c r="M995" i="17"/>
  <c r="M996" i="17"/>
  <c r="M997" i="17"/>
  <c r="M998" i="17"/>
  <c r="M999" i="17"/>
  <c r="M1000" i="17"/>
  <c r="M1001" i="17"/>
  <c r="M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2"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J2" i="17"/>
  <c r="I3" i="17"/>
  <c r="I4" i="17"/>
  <c r="I5" i="17"/>
  <c r="I6" i="17"/>
  <c r="I7" i="17"/>
  <c r="I8" i="17"/>
  <c r="I9" i="17"/>
  <c r="I10" i="17"/>
  <c r="I11" i="17"/>
  <c r="I12" i="17"/>
  <c r="I13" i="17"/>
  <c r="I14" i="17"/>
  <c r="I15" i="17"/>
  <c r="I16" i="17"/>
  <c r="I17" i="17"/>
  <c r="I18" i="17"/>
  <c r="I19" i="17"/>
  <c r="I20" i="17"/>
  <c r="I21" i="17"/>
  <c r="I22" i="17"/>
  <c r="I23" i="17"/>
  <c r="I24" i="17"/>
  <c r="I25" i="17"/>
  <c r="I26" i="17"/>
  <c r="I27" i="17"/>
  <c r="I28" i="17"/>
  <c r="I29" i="17"/>
  <c r="I30" i="17"/>
  <c r="I31" i="17"/>
  <c r="I32" i="17"/>
  <c r="I33" i="17"/>
  <c r="I34" i="17"/>
  <c r="I35" i="17"/>
  <c r="I36" i="17"/>
  <c r="I37" i="17"/>
  <c r="I38" i="17"/>
  <c r="I39" i="17"/>
  <c r="I40" i="17"/>
  <c r="I41" i="17"/>
  <c r="I42" i="17"/>
  <c r="I43" i="17"/>
  <c r="I44" i="17"/>
  <c r="I45" i="17"/>
  <c r="I46" i="17"/>
  <c r="I47" i="17"/>
  <c r="I48" i="17"/>
  <c r="I49" i="17"/>
  <c r="I50" i="17"/>
  <c r="I51" i="17"/>
  <c r="I52" i="17"/>
  <c r="I53" i="17"/>
  <c r="I54" i="17"/>
  <c r="I55" i="17"/>
  <c r="I56" i="17"/>
  <c r="I57" i="17"/>
  <c r="I58" i="17"/>
  <c r="I59" i="17"/>
  <c r="I60" i="17"/>
  <c r="I61" i="17"/>
  <c r="I62" i="17"/>
  <c r="I63" i="17"/>
  <c r="I64" i="17"/>
  <c r="I65" i="17"/>
  <c r="I66" i="17"/>
  <c r="I67" i="17"/>
  <c r="I68" i="17"/>
  <c r="I69" i="17"/>
  <c r="I70" i="17"/>
  <c r="I71" i="17"/>
  <c r="I72" i="17"/>
  <c r="I73" i="17"/>
  <c r="I74" i="17"/>
  <c r="I75" i="17"/>
  <c r="I76" i="17"/>
  <c r="I77" i="17"/>
  <c r="I78" i="17"/>
  <c r="I79" i="17"/>
  <c r="I80" i="17"/>
  <c r="I81" i="17"/>
  <c r="I82" i="17"/>
  <c r="I83" i="17"/>
  <c r="I84" i="17"/>
  <c r="I85" i="17"/>
  <c r="I86" i="17"/>
  <c r="I87" i="17"/>
  <c r="I88" i="17"/>
  <c r="I89" i="17"/>
  <c r="I90" i="17"/>
  <c r="I91" i="17"/>
  <c r="I92" i="17"/>
  <c r="I93" i="17"/>
  <c r="I94" i="17"/>
  <c r="I95" i="17"/>
  <c r="I96" i="17"/>
  <c r="I97" i="17"/>
  <c r="I98" i="17"/>
  <c r="I99" i="17"/>
  <c r="I100" i="17"/>
  <c r="I101" i="17"/>
  <c r="I102" i="17"/>
  <c r="I103" i="17"/>
  <c r="I104" i="17"/>
  <c r="I105" i="17"/>
  <c r="I106" i="17"/>
  <c r="I107" i="17"/>
  <c r="I108" i="17"/>
  <c r="I109" i="17"/>
  <c r="I110" i="17"/>
  <c r="I111" i="17"/>
  <c r="I112" i="17"/>
  <c r="I113" i="17"/>
  <c r="I114" i="17"/>
  <c r="I115" i="17"/>
  <c r="I116" i="17"/>
  <c r="I117" i="17"/>
  <c r="I118" i="17"/>
  <c r="I119" i="17"/>
  <c r="I120" i="17"/>
  <c r="I121" i="17"/>
  <c r="I122" i="17"/>
  <c r="I123" i="17"/>
  <c r="I124" i="17"/>
  <c r="I125" i="17"/>
  <c r="I126" i="17"/>
  <c r="I127" i="17"/>
  <c r="I128" i="17"/>
  <c r="I129" i="17"/>
  <c r="I130" i="17"/>
  <c r="I131" i="17"/>
  <c r="I132" i="17"/>
  <c r="I133" i="17"/>
  <c r="I134" i="17"/>
  <c r="I135" i="17"/>
  <c r="I136" i="17"/>
  <c r="I137" i="17"/>
  <c r="I138" i="17"/>
  <c r="I139" i="17"/>
  <c r="I140" i="17"/>
  <c r="I141" i="17"/>
  <c r="I142"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I202" i="17"/>
  <c r="I203" i="17"/>
  <c r="I204" i="17"/>
  <c r="I205" i="17"/>
  <c r="I206" i="17"/>
  <c r="I207" i="17"/>
  <c r="I208" i="17"/>
  <c r="I209" i="17"/>
  <c r="I210" i="17"/>
  <c r="I211" i="17"/>
  <c r="I212" i="17"/>
  <c r="I213" i="17"/>
  <c r="I214" i="17"/>
  <c r="I215" i="17"/>
  <c r="I216" i="17"/>
  <c r="I217" i="17"/>
  <c r="I218" i="17"/>
  <c r="I219" i="17"/>
  <c r="I220" i="17"/>
  <c r="I221" i="17"/>
  <c r="I222" i="17"/>
  <c r="I223" i="17"/>
  <c r="I224" i="17"/>
  <c r="I225" i="17"/>
  <c r="I226" i="17"/>
  <c r="I227" i="17"/>
  <c r="I228" i="17"/>
  <c r="I229" i="17"/>
  <c r="I230" i="17"/>
  <c r="I231" i="17"/>
  <c r="I232" i="17"/>
  <c r="I233" i="17"/>
  <c r="I234" i="17"/>
  <c r="I235" i="17"/>
  <c r="I236" i="17"/>
  <c r="I237" i="17"/>
  <c r="I238" i="17"/>
  <c r="I239" i="17"/>
  <c r="I240" i="17"/>
  <c r="I241" i="17"/>
  <c r="I242" i="17"/>
  <c r="I243" i="17"/>
  <c r="I244" i="17"/>
  <c r="I245" i="17"/>
  <c r="I246" i="17"/>
  <c r="I247" i="17"/>
  <c r="I248" i="17"/>
  <c r="I249" i="17"/>
  <c r="I250" i="17"/>
  <c r="I251" i="17"/>
  <c r="I252" i="17"/>
  <c r="I253" i="17"/>
  <c r="I254" i="17"/>
  <c r="I255" i="17"/>
  <c r="I256" i="17"/>
  <c r="I257" i="17"/>
  <c r="I258" i="17"/>
  <c r="I259" i="17"/>
  <c r="I260" i="17"/>
  <c r="I261" i="17"/>
  <c r="I262" i="17"/>
  <c r="I263" i="17"/>
  <c r="I264" i="17"/>
  <c r="I265" i="17"/>
  <c r="I266" i="17"/>
  <c r="I267" i="17"/>
  <c r="I268" i="17"/>
  <c r="I269" i="17"/>
  <c r="I270" i="17"/>
  <c r="I271" i="17"/>
  <c r="I272" i="17"/>
  <c r="I273" i="17"/>
  <c r="I274" i="17"/>
  <c r="I275" i="17"/>
  <c r="I276" i="17"/>
  <c r="I277" i="17"/>
  <c r="I278" i="17"/>
  <c r="I279" i="17"/>
  <c r="I280" i="17"/>
  <c r="I281" i="17"/>
  <c r="I282" i="17"/>
  <c r="I283" i="17"/>
  <c r="I284" i="17"/>
  <c r="I285" i="17"/>
  <c r="I286" i="17"/>
  <c r="I287" i="17"/>
  <c r="I288" i="17"/>
  <c r="I289" i="17"/>
  <c r="I290" i="17"/>
  <c r="I291" i="17"/>
  <c r="I292" i="17"/>
  <c r="I293" i="17"/>
  <c r="I294" i="17"/>
  <c r="I295" i="17"/>
  <c r="I296" i="17"/>
  <c r="I297" i="17"/>
  <c r="I298" i="17"/>
  <c r="I299" i="17"/>
  <c r="I300" i="17"/>
  <c r="I301" i="17"/>
  <c r="I302" i="17"/>
  <c r="I303" i="17"/>
  <c r="I304" i="17"/>
  <c r="I305" i="17"/>
  <c r="I306" i="17"/>
  <c r="I307" i="17"/>
  <c r="I308" i="17"/>
  <c r="I309" i="17"/>
  <c r="I310" i="17"/>
  <c r="I311" i="17"/>
  <c r="I312" i="17"/>
  <c r="I313" i="17"/>
  <c r="I314" i="17"/>
  <c r="I315" i="17"/>
  <c r="I316" i="17"/>
  <c r="I317" i="17"/>
  <c r="I318" i="17"/>
  <c r="I319" i="17"/>
  <c r="I320" i="17"/>
  <c r="I321" i="17"/>
  <c r="I322" i="17"/>
  <c r="I323" i="17"/>
  <c r="I324" i="17"/>
  <c r="I325" i="17"/>
  <c r="I326" i="17"/>
  <c r="I327" i="17"/>
  <c r="I328" i="17"/>
  <c r="I329" i="17"/>
  <c r="I330" i="17"/>
  <c r="I331" i="17"/>
  <c r="I332" i="17"/>
  <c r="I333" i="17"/>
  <c r="I334" i="17"/>
  <c r="I335" i="17"/>
  <c r="I336" i="17"/>
  <c r="I337" i="17"/>
  <c r="I338" i="17"/>
  <c r="I339" i="17"/>
  <c r="I340" i="17"/>
  <c r="I341" i="17"/>
  <c r="I342" i="17"/>
  <c r="I343" i="17"/>
  <c r="I344" i="17"/>
  <c r="I345" i="17"/>
  <c r="I346" i="17"/>
  <c r="I347" i="17"/>
  <c r="I348" i="17"/>
  <c r="I349" i="17"/>
  <c r="I350" i="17"/>
  <c r="I351" i="17"/>
  <c r="I352" i="17"/>
  <c r="I353" i="17"/>
  <c r="I354" i="17"/>
  <c r="I355" i="17"/>
  <c r="I356" i="17"/>
  <c r="I357" i="17"/>
  <c r="I358" i="17"/>
  <c r="I359" i="17"/>
  <c r="I360" i="17"/>
  <c r="I361" i="17"/>
  <c r="I362" i="17"/>
  <c r="I363" i="17"/>
  <c r="I364" i="17"/>
  <c r="I365" i="17"/>
  <c r="I366" i="17"/>
  <c r="I367" i="17"/>
  <c r="I368" i="17"/>
  <c r="I369" i="17"/>
  <c r="I370" i="17"/>
  <c r="I371" i="17"/>
  <c r="I372" i="17"/>
  <c r="I373" i="17"/>
  <c r="I374" i="17"/>
  <c r="I375" i="17"/>
  <c r="I376" i="17"/>
  <c r="I377" i="17"/>
  <c r="I378" i="17"/>
  <c r="I379" i="17"/>
  <c r="I380" i="17"/>
  <c r="I381" i="17"/>
  <c r="I382" i="17"/>
  <c r="I383"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409" i="17"/>
  <c r="I410" i="17"/>
  <c r="I411" i="17"/>
  <c r="I412" i="17"/>
  <c r="I413" i="17"/>
  <c r="I414" i="17"/>
  <c r="I415" i="17"/>
  <c r="I416" i="17"/>
  <c r="I417" i="17"/>
  <c r="I418" i="17"/>
  <c r="I419" i="17"/>
  <c r="I420" i="17"/>
  <c r="I421" i="17"/>
  <c r="I422" i="17"/>
  <c r="I423" i="17"/>
  <c r="I424" i="17"/>
  <c r="I425" i="17"/>
  <c r="I426" i="17"/>
  <c r="I427" i="17"/>
  <c r="I428" i="17"/>
  <c r="I429" i="17"/>
  <c r="I430" i="17"/>
  <c r="I431" i="17"/>
  <c r="I432" i="17"/>
  <c r="I433" i="17"/>
  <c r="I434" i="17"/>
  <c r="I435" i="17"/>
  <c r="I436" i="17"/>
  <c r="I437" i="17"/>
  <c r="I438" i="17"/>
  <c r="I439" i="17"/>
  <c r="I440" i="17"/>
  <c r="I441" i="17"/>
  <c r="I442" i="17"/>
  <c r="I443" i="17"/>
  <c r="I444" i="17"/>
  <c r="I445" i="17"/>
  <c r="I446" i="17"/>
  <c r="I447" i="17"/>
  <c r="I448" i="17"/>
  <c r="I449" i="17"/>
  <c r="I450" i="17"/>
  <c r="I451" i="17"/>
  <c r="I452" i="17"/>
  <c r="I453" i="17"/>
  <c r="I454" i="17"/>
  <c r="I455" i="17"/>
  <c r="I456" i="17"/>
  <c r="I457" i="17"/>
  <c r="I458" i="17"/>
  <c r="I459" i="17"/>
  <c r="I460" i="17"/>
  <c r="I461" i="17"/>
  <c r="I462" i="17"/>
  <c r="I463" i="17"/>
  <c r="I464" i="17"/>
  <c r="I465" i="17"/>
  <c r="I466" i="17"/>
  <c r="I467" i="17"/>
  <c r="I468" i="17"/>
  <c r="I469" i="17"/>
  <c r="I470" i="17"/>
  <c r="I471" i="17"/>
  <c r="I472" i="17"/>
  <c r="I473" i="17"/>
  <c r="I474" i="17"/>
  <c r="I475" i="17"/>
  <c r="I476" i="17"/>
  <c r="I477" i="17"/>
  <c r="I478" i="17"/>
  <c r="I479" i="17"/>
  <c r="I480" i="17"/>
  <c r="I481" i="17"/>
  <c r="I482" i="17"/>
  <c r="I483" i="17"/>
  <c r="I484" i="17"/>
  <c r="I485" i="17"/>
  <c r="I486" i="17"/>
  <c r="I487" i="17"/>
  <c r="I488" i="17"/>
  <c r="I489" i="17"/>
  <c r="I490" i="17"/>
  <c r="I491" i="17"/>
  <c r="I492" i="17"/>
  <c r="I493" i="17"/>
  <c r="I494" i="17"/>
  <c r="I495" i="17"/>
  <c r="I496" i="17"/>
  <c r="I497" i="17"/>
  <c r="I498" i="17"/>
  <c r="I499" i="17"/>
  <c r="I500" i="17"/>
  <c r="I501" i="17"/>
  <c r="I502" i="17"/>
  <c r="I503" i="17"/>
  <c r="I504" i="17"/>
  <c r="I505" i="17"/>
  <c r="I506" i="17"/>
  <c r="I507" i="17"/>
  <c r="I508" i="17"/>
  <c r="I509" i="17"/>
  <c r="I510" i="17"/>
  <c r="I511" i="17"/>
  <c r="I512" i="17"/>
  <c r="I513" i="17"/>
  <c r="I514" i="17"/>
  <c r="I515" i="17"/>
  <c r="I516" i="17"/>
  <c r="I517" i="17"/>
  <c r="I518" i="17"/>
  <c r="I519" i="17"/>
  <c r="I520" i="17"/>
  <c r="I521" i="17"/>
  <c r="I522" i="17"/>
  <c r="I523" i="17"/>
  <c r="I524" i="17"/>
  <c r="I525" i="17"/>
  <c r="N525" i="17" s="1" a="1"/>
  <c r="N525" i="17" s="1"/>
  <c r="I526" i="17"/>
  <c r="N526" i="17" s="1" a="1"/>
  <c r="N526" i="17" s="1"/>
  <c r="I527" i="17"/>
  <c r="N527" i="17" s="1" a="1"/>
  <c r="N527" i="17" s="1"/>
  <c r="I528" i="17"/>
  <c r="N528" i="17" s="1" a="1"/>
  <c r="N528" i="17" s="1"/>
  <c r="I529" i="17"/>
  <c r="N529" i="17" s="1" a="1"/>
  <c r="N529" i="17" s="1"/>
  <c r="I530" i="17"/>
  <c r="N530" i="17" s="1" a="1"/>
  <c r="N530" i="17" s="1"/>
  <c r="I531" i="17"/>
  <c r="N531" i="17" s="1" a="1"/>
  <c r="N531" i="17" s="1"/>
  <c r="I532" i="17"/>
  <c r="N532" i="17" s="1" a="1"/>
  <c r="N532" i="17" s="1"/>
  <c r="I533" i="17"/>
  <c r="N533" i="17" s="1" a="1"/>
  <c r="N533" i="17" s="1"/>
  <c r="I534" i="17"/>
  <c r="N534" i="17" s="1" a="1"/>
  <c r="N534" i="17" s="1"/>
  <c r="I535" i="17"/>
  <c r="N535" i="17" s="1" a="1"/>
  <c r="N535" i="17" s="1"/>
  <c r="I536" i="17"/>
  <c r="N536" i="17" s="1" a="1"/>
  <c r="N536" i="17" s="1"/>
  <c r="I537" i="17"/>
  <c r="N537" i="17" s="1" a="1"/>
  <c r="N537" i="17" s="1"/>
  <c r="I538" i="17"/>
  <c r="N538" i="17" s="1" a="1"/>
  <c r="N538" i="17" s="1"/>
  <c r="I539" i="17"/>
  <c r="N539" i="17" s="1" a="1"/>
  <c r="N539" i="17" s="1"/>
  <c r="I540" i="17"/>
  <c r="N540" i="17" s="1" a="1"/>
  <c r="N540" i="17" s="1"/>
  <c r="I541" i="17"/>
  <c r="N541" i="17" s="1" a="1"/>
  <c r="N541" i="17" s="1"/>
  <c r="I542" i="17"/>
  <c r="N542" i="17" s="1" a="1"/>
  <c r="N542" i="17" s="1"/>
  <c r="I543" i="17"/>
  <c r="N543" i="17" s="1" a="1"/>
  <c r="N543" i="17" s="1"/>
  <c r="I544" i="17"/>
  <c r="N544" i="17" s="1" a="1"/>
  <c r="N544" i="17" s="1"/>
  <c r="I545" i="17"/>
  <c r="N545" i="17" s="1" a="1"/>
  <c r="N545" i="17" s="1"/>
  <c r="I546" i="17"/>
  <c r="N546" i="17" s="1" a="1"/>
  <c r="N546" i="17" s="1"/>
  <c r="I547" i="17"/>
  <c r="N547" i="17" s="1" a="1"/>
  <c r="N547" i="17" s="1"/>
  <c r="I548" i="17"/>
  <c r="N548" i="17" s="1" a="1"/>
  <c r="N548" i="17" s="1"/>
  <c r="I549" i="17"/>
  <c r="N549" i="17" s="1" a="1"/>
  <c r="N549" i="17" s="1"/>
  <c r="I550" i="17"/>
  <c r="N550" i="17" s="1" a="1"/>
  <c r="N550" i="17" s="1"/>
  <c r="I551" i="17"/>
  <c r="N551" i="17" s="1" a="1"/>
  <c r="N551" i="17" s="1"/>
  <c r="I552" i="17"/>
  <c r="N552" i="17" s="1" a="1"/>
  <c r="N552" i="17" s="1"/>
  <c r="I553" i="17"/>
  <c r="N553" i="17" s="1" a="1"/>
  <c r="N553" i="17" s="1"/>
  <c r="I554" i="17"/>
  <c r="N554" i="17" s="1" a="1"/>
  <c r="N554" i="17" s="1"/>
  <c r="I555" i="17"/>
  <c r="N555" i="17" s="1" a="1"/>
  <c r="N555" i="17" s="1"/>
  <c r="I556" i="17"/>
  <c r="N556" i="17" s="1" a="1"/>
  <c r="N556" i="17" s="1"/>
  <c r="I557" i="17"/>
  <c r="N557" i="17" s="1" a="1"/>
  <c r="N557" i="17" s="1"/>
  <c r="I558" i="17"/>
  <c r="N558" i="17" s="1" a="1"/>
  <c r="N558" i="17" s="1"/>
  <c r="I559" i="17"/>
  <c r="N559" i="17" s="1" a="1"/>
  <c r="N559" i="17" s="1"/>
  <c r="I560" i="17"/>
  <c r="N560" i="17" s="1" a="1"/>
  <c r="N560" i="17" s="1"/>
  <c r="I561" i="17"/>
  <c r="N561" i="17" s="1" a="1"/>
  <c r="N561" i="17" s="1"/>
  <c r="I562" i="17"/>
  <c r="N562" i="17" s="1" a="1"/>
  <c r="N562" i="17" s="1"/>
  <c r="I563" i="17"/>
  <c r="N563" i="17" s="1" a="1"/>
  <c r="N563" i="17" s="1"/>
  <c r="I564" i="17"/>
  <c r="N564" i="17" s="1" a="1"/>
  <c r="N564" i="17" s="1"/>
  <c r="I565" i="17"/>
  <c r="N565" i="17" s="1" a="1"/>
  <c r="N565" i="17" s="1"/>
  <c r="I566" i="17"/>
  <c r="N566" i="17" s="1" a="1"/>
  <c r="N566" i="17" s="1"/>
  <c r="I567" i="17"/>
  <c r="N567" i="17" s="1" a="1"/>
  <c r="N567" i="17" s="1"/>
  <c r="I568" i="17"/>
  <c r="N568" i="17" s="1" a="1"/>
  <c r="N568" i="17" s="1"/>
  <c r="I569" i="17"/>
  <c r="N569" i="17" s="1" a="1"/>
  <c r="N569" i="17" s="1"/>
  <c r="I570" i="17"/>
  <c r="N570" i="17" s="1" a="1"/>
  <c r="N570" i="17" s="1"/>
  <c r="I571" i="17"/>
  <c r="N571" i="17" s="1" a="1"/>
  <c r="N571" i="17" s="1"/>
  <c r="I572" i="17"/>
  <c r="N572" i="17" s="1" a="1"/>
  <c r="N572" i="17" s="1"/>
  <c r="I573" i="17"/>
  <c r="N573" i="17" s="1" a="1"/>
  <c r="N573" i="17" s="1"/>
  <c r="I574" i="17"/>
  <c r="N574" i="17" s="1" a="1"/>
  <c r="N574" i="17" s="1"/>
  <c r="I575" i="17"/>
  <c r="N575" i="17" s="1" a="1"/>
  <c r="N575" i="17" s="1"/>
  <c r="I576" i="17"/>
  <c r="N576" i="17" s="1" a="1"/>
  <c r="N576" i="17" s="1"/>
  <c r="I577" i="17"/>
  <c r="N577" i="17" s="1" a="1"/>
  <c r="N577" i="17" s="1"/>
  <c r="I578" i="17"/>
  <c r="N578" i="17" s="1" a="1"/>
  <c r="N578" i="17" s="1"/>
  <c r="I579" i="17"/>
  <c r="N579" i="17" s="1" a="1"/>
  <c r="N579" i="17" s="1"/>
  <c r="I580" i="17"/>
  <c r="N580" i="17" s="1" a="1"/>
  <c r="N580" i="17" s="1"/>
  <c r="I581" i="17"/>
  <c r="N581" i="17" s="1" a="1"/>
  <c r="N581" i="17" s="1"/>
  <c r="I582" i="17"/>
  <c r="N582" i="17" s="1" a="1"/>
  <c r="N582" i="17" s="1"/>
  <c r="I583" i="17"/>
  <c r="N583" i="17" s="1" a="1"/>
  <c r="N583" i="17" s="1"/>
  <c r="I584" i="17"/>
  <c r="N584" i="17" s="1" a="1"/>
  <c r="N584" i="17" s="1"/>
  <c r="I585" i="17"/>
  <c r="N585" i="17" s="1" a="1"/>
  <c r="N585" i="17" s="1"/>
  <c r="I586" i="17"/>
  <c r="N586" i="17" s="1" a="1"/>
  <c r="N586" i="17" s="1"/>
  <c r="I587" i="17"/>
  <c r="N587" i="17" s="1" a="1"/>
  <c r="N587" i="17" s="1"/>
  <c r="I588" i="17"/>
  <c r="N588" i="17" s="1" a="1"/>
  <c r="N588" i="17" s="1"/>
  <c r="I589" i="17"/>
  <c r="N589" i="17" s="1" a="1"/>
  <c r="N589" i="17" s="1"/>
  <c r="I590" i="17"/>
  <c r="N590" i="17" s="1" a="1"/>
  <c r="N590" i="17" s="1"/>
  <c r="I591" i="17"/>
  <c r="N591" i="17" s="1" a="1"/>
  <c r="N591" i="17" s="1"/>
  <c r="I592" i="17"/>
  <c r="N592" i="17" s="1" a="1"/>
  <c r="N592" i="17" s="1"/>
  <c r="I593" i="17"/>
  <c r="N593" i="17" s="1" a="1"/>
  <c r="N593" i="17" s="1"/>
  <c r="I594" i="17"/>
  <c r="N594" i="17" s="1" a="1"/>
  <c r="N594" i="17" s="1"/>
  <c r="I595" i="17"/>
  <c r="N595" i="17" s="1" a="1"/>
  <c r="N595" i="17" s="1"/>
  <c r="I596" i="17"/>
  <c r="N596" i="17" s="1" a="1"/>
  <c r="N596" i="17" s="1"/>
  <c r="I597" i="17"/>
  <c r="N597" i="17" s="1" a="1"/>
  <c r="N597" i="17" s="1"/>
  <c r="I598" i="17"/>
  <c r="N598" i="17" s="1" a="1"/>
  <c r="N598" i="17" s="1"/>
  <c r="I599" i="17"/>
  <c r="N599" i="17" s="1" a="1"/>
  <c r="N599" i="17" s="1"/>
  <c r="I600" i="17"/>
  <c r="N600" i="17" s="1" a="1"/>
  <c r="N600" i="17" s="1"/>
  <c r="I601" i="17"/>
  <c r="N601" i="17" s="1" a="1"/>
  <c r="N601" i="17" s="1"/>
  <c r="I602" i="17"/>
  <c r="N602" i="17" s="1" a="1"/>
  <c r="N602" i="17" s="1"/>
  <c r="I603" i="17"/>
  <c r="N603" i="17" s="1" a="1"/>
  <c r="N603" i="17" s="1"/>
  <c r="I604" i="17"/>
  <c r="N604" i="17" s="1" a="1"/>
  <c r="N604" i="17" s="1"/>
  <c r="I605" i="17"/>
  <c r="N605" i="17" s="1" a="1"/>
  <c r="N605" i="17" s="1"/>
  <c r="I606" i="17"/>
  <c r="N606" i="17" s="1" a="1"/>
  <c r="N606" i="17" s="1"/>
  <c r="I607" i="17"/>
  <c r="N607" i="17" s="1" a="1"/>
  <c r="N607" i="17" s="1"/>
  <c r="I608" i="17"/>
  <c r="N608" i="17" s="1" a="1"/>
  <c r="N608" i="17" s="1"/>
  <c r="I609" i="17"/>
  <c r="N609" i="17" s="1" a="1"/>
  <c r="N609" i="17" s="1"/>
  <c r="I610" i="17"/>
  <c r="N610" i="17" s="1" a="1"/>
  <c r="N610" i="17" s="1"/>
  <c r="I611" i="17"/>
  <c r="N611" i="17" s="1" a="1"/>
  <c r="N611" i="17" s="1"/>
  <c r="I612" i="17"/>
  <c r="N612" i="17" s="1" a="1"/>
  <c r="N612" i="17" s="1"/>
  <c r="I613" i="17"/>
  <c r="N613" i="17" s="1" a="1"/>
  <c r="N613" i="17" s="1"/>
  <c r="I614" i="17"/>
  <c r="N614" i="17" s="1" a="1"/>
  <c r="N614" i="17" s="1"/>
  <c r="I615" i="17"/>
  <c r="N615" i="17" s="1" a="1"/>
  <c r="N615" i="17" s="1"/>
  <c r="I616" i="17"/>
  <c r="N616" i="17" s="1" a="1"/>
  <c r="N616" i="17" s="1"/>
  <c r="I617" i="17"/>
  <c r="N617" i="17" s="1" a="1"/>
  <c r="N617" i="17" s="1"/>
  <c r="I618" i="17"/>
  <c r="N618" i="17" s="1" a="1"/>
  <c r="N618" i="17" s="1"/>
  <c r="I619" i="17"/>
  <c r="N619" i="17" s="1" a="1"/>
  <c r="N619" i="17" s="1"/>
  <c r="I620" i="17"/>
  <c r="N620" i="17" s="1" a="1"/>
  <c r="N620" i="17" s="1"/>
  <c r="I621" i="17"/>
  <c r="N621" i="17" s="1" a="1"/>
  <c r="N621" i="17" s="1"/>
  <c r="I622" i="17"/>
  <c r="N622" i="17" s="1" a="1"/>
  <c r="N622" i="17" s="1"/>
  <c r="I623" i="17"/>
  <c r="N623" i="17" s="1" a="1"/>
  <c r="N623" i="17" s="1"/>
  <c r="I624" i="17"/>
  <c r="N624" i="17" s="1" a="1"/>
  <c r="N624" i="17" s="1"/>
  <c r="I625" i="17"/>
  <c r="N625" i="17" s="1" a="1"/>
  <c r="N625" i="17" s="1"/>
  <c r="I626" i="17"/>
  <c r="N626" i="17" s="1" a="1"/>
  <c r="N626" i="17" s="1"/>
  <c r="I627" i="17"/>
  <c r="N627" i="17" s="1" a="1"/>
  <c r="N627" i="17" s="1"/>
  <c r="I628" i="17"/>
  <c r="N628" i="17" s="1" a="1"/>
  <c r="N628" i="17" s="1"/>
  <c r="I629" i="17"/>
  <c r="N629" i="17" s="1" a="1"/>
  <c r="N629" i="17" s="1"/>
  <c r="I630" i="17"/>
  <c r="N630" i="17" s="1" a="1"/>
  <c r="N630" i="17" s="1"/>
  <c r="I631" i="17"/>
  <c r="N631" i="17" s="1" a="1"/>
  <c r="N631" i="17" s="1"/>
  <c r="I632" i="17"/>
  <c r="N632" i="17" s="1" a="1"/>
  <c r="N632" i="17" s="1"/>
  <c r="I633" i="17"/>
  <c r="N633" i="17" s="1" a="1"/>
  <c r="N633" i="17" s="1"/>
  <c r="I634" i="17"/>
  <c r="N634" i="17" s="1" a="1"/>
  <c r="N634" i="17" s="1"/>
  <c r="I635" i="17"/>
  <c r="N635" i="17" s="1" a="1"/>
  <c r="N635" i="17" s="1"/>
  <c r="I636" i="17"/>
  <c r="N636" i="17" s="1" a="1"/>
  <c r="N636" i="17" s="1"/>
  <c r="I637" i="17"/>
  <c r="N637" i="17" s="1" a="1"/>
  <c r="N637" i="17" s="1"/>
  <c r="I638" i="17"/>
  <c r="N638" i="17" s="1" a="1"/>
  <c r="N638" i="17" s="1"/>
  <c r="I639" i="17"/>
  <c r="N639" i="17" s="1" a="1"/>
  <c r="N639" i="17" s="1"/>
  <c r="I640" i="17"/>
  <c r="N640" i="17" s="1" a="1"/>
  <c r="N640" i="17" s="1"/>
  <c r="I641" i="17"/>
  <c r="N641" i="17" s="1" a="1"/>
  <c r="N641" i="17" s="1"/>
  <c r="I642" i="17"/>
  <c r="N642" i="17" s="1" a="1"/>
  <c r="N642" i="17" s="1"/>
  <c r="I643" i="17"/>
  <c r="N643" i="17" s="1" a="1"/>
  <c r="N643" i="17" s="1"/>
  <c r="I644" i="17"/>
  <c r="N644" i="17" s="1" a="1"/>
  <c r="N644" i="17" s="1"/>
  <c r="I645" i="17"/>
  <c r="N645" i="17" s="1" a="1"/>
  <c r="N645" i="17" s="1"/>
  <c r="I646" i="17"/>
  <c r="N646" i="17" s="1" a="1"/>
  <c r="N646" i="17" s="1"/>
  <c r="I647" i="17"/>
  <c r="N647" i="17" s="1" a="1"/>
  <c r="N647" i="17" s="1"/>
  <c r="I648" i="17"/>
  <c r="N648" i="17" s="1" a="1"/>
  <c r="N648" i="17" s="1"/>
  <c r="I649" i="17"/>
  <c r="N649" i="17" s="1" a="1"/>
  <c r="N649" i="17" s="1"/>
  <c r="I650" i="17"/>
  <c r="N650" i="17" s="1" a="1"/>
  <c r="N650" i="17" s="1"/>
  <c r="I651" i="17"/>
  <c r="N651" i="17" s="1" a="1"/>
  <c r="N651" i="17" s="1"/>
  <c r="I652" i="17"/>
  <c r="N652" i="17" s="1" a="1"/>
  <c r="N652" i="17" s="1"/>
  <c r="I653" i="17"/>
  <c r="N653" i="17" s="1" a="1"/>
  <c r="N653" i="17" s="1"/>
  <c r="I654" i="17"/>
  <c r="N654" i="17" s="1" a="1"/>
  <c r="N654" i="17" s="1"/>
  <c r="I655" i="17"/>
  <c r="N655" i="17" s="1" a="1"/>
  <c r="N655" i="17" s="1"/>
  <c r="I656" i="17"/>
  <c r="N656" i="17" s="1" a="1"/>
  <c r="N656" i="17" s="1"/>
  <c r="I657" i="17"/>
  <c r="N657" i="17" s="1" a="1"/>
  <c r="N657" i="17" s="1"/>
  <c r="I658" i="17"/>
  <c r="N658" i="17" s="1" a="1"/>
  <c r="N658" i="17" s="1"/>
  <c r="I659" i="17"/>
  <c r="N659" i="17" s="1" a="1"/>
  <c r="N659" i="17" s="1"/>
  <c r="I660" i="17"/>
  <c r="N660" i="17" s="1" a="1"/>
  <c r="N660" i="17" s="1"/>
  <c r="I661" i="17"/>
  <c r="N661" i="17" s="1" a="1"/>
  <c r="N661" i="17" s="1"/>
  <c r="I662" i="17"/>
  <c r="N662" i="17" s="1" a="1"/>
  <c r="N662" i="17" s="1"/>
  <c r="I663" i="17"/>
  <c r="N663" i="17" s="1" a="1"/>
  <c r="N663" i="17" s="1"/>
  <c r="I664" i="17"/>
  <c r="N664" i="17" s="1" a="1"/>
  <c r="N664" i="17" s="1"/>
  <c r="I665" i="17"/>
  <c r="N665" i="17" s="1" a="1"/>
  <c r="N665" i="17" s="1"/>
  <c r="I666" i="17"/>
  <c r="N666" i="17" s="1" a="1"/>
  <c r="N666" i="17" s="1"/>
  <c r="I667" i="17"/>
  <c r="N667" i="17" s="1" a="1"/>
  <c r="N667" i="17" s="1"/>
  <c r="I668" i="17"/>
  <c r="N668" i="17" s="1" a="1"/>
  <c r="N668" i="17" s="1"/>
  <c r="I669" i="17"/>
  <c r="N669" i="17" s="1" a="1"/>
  <c r="N669" i="17" s="1"/>
  <c r="I670" i="17"/>
  <c r="N670" i="17" s="1" a="1"/>
  <c r="N670" i="17" s="1"/>
  <c r="I671" i="17"/>
  <c r="N671" i="17" s="1" a="1"/>
  <c r="N671" i="17" s="1"/>
  <c r="I672" i="17"/>
  <c r="N672" i="17" s="1" a="1"/>
  <c r="N672" i="17" s="1"/>
  <c r="I673" i="17"/>
  <c r="N673" i="17" s="1" a="1"/>
  <c r="N673" i="17" s="1"/>
  <c r="I674" i="17"/>
  <c r="N674" i="17" s="1" a="1"/>
  <c r="N674" i="17" s="1"/>
  <c r="I675" i="17"/>
  <c r="N675" i="17" s="1" a="1"/>
  <c r="N675" i="17" s="1"/>
  <c r="I676" i="17"/>
  <c r="N676" i="17" s="1" a="1"/>
  <c r="N676" i="17" s="1"/>
  <c r="I677" i="17"/>
  <c r="N677" i="17" s="1" a="1"/>
  <c r="N677" i="17" s="1"/>
  <c r="I678" i="17"/>
  <c r="N678" i="17" s="1" a="1"/>
  <c r="N678" i="17" s="1"/>
  <c r="I679" i="17"/>
  <c r="N679" i="17" s="1" a="1"/>
  <c r="N679" i="17" s="1"/>
  <c r="I680" i="17"/>
  <c r="N680" i="17" s="1" a="1"/>
  <c r="N680" i="17" s="1"/>
  <c r="I681" i="17"/>
  <c r="N681" i="17" s="1" a="1"/>
  <c r="N681" i="17" s="1"/>
  <c r="I682" i="17"/>
  <c r="N682" i="17" s="1" a="1"/>
  <c r="N682" i="17" s="1"/>
  <c r="I683" i="17"/>
  <c r="N683" i="17" s="1" a="1"/>
  <c r="N683" i="17" s="1"/>
  <c r="I684" i="17"/>
  <c r="N684" i="17" s="1" a="1"/>
  <c r="N684" i="17" s="1"/>
  <c r="I685" i="17"/>
  <c r="N685" i="17" s="1" a="1"/>
  <c r="N685" i="17" s="1"/>
  <c r="I686" i="17"/>
  <c r="N686" i="17" s="1" a="1"/>
  <c r="N686" i="17" s="1"/>
  <c r="I687" i="17"/>
  <c r="N687" i="17" s="1" a="1"/>
  <c r="N687" i="17" s="1"/>
  <c r="I688" i="17"/>
  <c r="N688" i="17" s="1" a="1"/>
  <c r="N688" i="17" s="1"/>
  <c r="I689" i="17"/>
  <c r="N689" i="17" s="1" a="1"/>
  <c r="N689" i="17" s="1"/>
  <c r="I690" i="17"/>
  <c r="N690" i="17" s="1" a="1"/>
  <c r="N690" i="17" s="1"/>
  <c r="I691" i="17"/>
  <c r="N691" i="17" s="1" a="1"/>
  <c r="N691" i="17" s="1"/>
  <c r="I692" i="17"/>
  <c r="N692" i="17" s="1" a="1"/>
  <c r="N692" i="17" s="1"/>
  <c r="I693" i="17"/>
  <c r="N693" i="17" s="1" a="1"/>
  <c r="N693" i="17" s="1"/>
  <c r="I694" i="17"/>
  <c r="N694" i="17" s="1" a="1"/>
  <c r="N694" i="17" s="1"/>
  <c r="I695" i="17"/>
  <c r="N695" i="17" s="1" a="1"/>
  <c r="N695" i="17" s="1"/>
  <c r="I696" i="17"/>
  <c r="N696" i="17" s="1" a="1"/>
  <c r="N696" i="17" s="1"/>
  <c r="I697" i="17"/>
  <c r="N697" i="17" s="1" a="1"/>
  <c r="N697" i="17" s="1"/>
  <c r="I698" i="17"/>
  <c r="N698" i="17" s="1" a="1"/>
  <c r="N698" i="17" s="1"/>
  <c r="I699" i="17"/>
  <c r="N699" i="17" s="1" a="1"/>
  <c r="N699" i="17" s="1"/>
  <c r="I700" i="17"/>
  <c r="N700" i="17" s="1" a="1"/>
  <c r="N700" i="17" s="1"/>
  <c r="I701" i="17"/>
  <c r="N701" i="17" s="1" a="1"/>
  <c r="N701" i="17" s="1"/>
  <c r="I702" i="17"/>
  <c r="N702" i="17" s="1" a="1"/>
  <c r="N702" i="17" s="1"/>
  <c r="I703" i="17"/>
  <c r="N703" i="17" s="1" a="1"/>
  <c r="N703" i="17" s="1"/>
  <c r="I704" i="17"/>
  <c r="N704" i="17" s="1" a="1"/>
  <c r="N704" i="17" s="1"/>
  <c r="I705" i="17"/>
  <c r="N705" i="17" s="1" a="1"/>
  <c r="N705" i="17" s="1"/>
  <c r="I706" i="17"/>
  <c r="N706" i="17" s="1" a="1"/>
  <c r="N706" i="17" s="1"/>
  <c r="I707" i="17"/>
  <c r="N707" i="17" s="1" a="1"/>
  <c r="N707" i="17" s="1"/>
  <c r="I708" i="17"/>
  <c r="N708" i="17" s="1" a="1"/>
  <c r="N708" i="17" s="1"/>
  <c r="I709" i="17"/>
  <c r="N709" i="17" s="1" a="1"/>
  <c r="N709" i="17" s="1"/>
  <c r="I710" i="17"/>
  <c r="N710" i="17" s="1" a="1"/>
  <c r="N710" i="17" s="1"/>
  <c r="I711" i="17"/>
  <c r="N711" i="17" s="1" a="1"/>
  <c r="N711" i="17" s="1"/>
  <c r="I712" i="17"/>
  <c r="N712" i="17" s="1" a="1"/>
  <c r="N712" i="17" s="1"/>
  <c r="I713" i="17"/>
  <c r="N713" i="17" s="1" a="1"/>
  <c r="N713" i="17" s="1"/>
  <c r="I714" i="17"/>
  <c r="N714" i="17" s="1" a="1"/>
  <c r="N714" i="17" s="1"/>
  <c r="I715" i="17"/>
  <c r="N715" i="17" s="1" a="1"/>
  <c r="N715" i="17" s="1"/>
  <c r="I716" i="17"/>
  <c r="N716" i="17" s="1" a="1"/>
  <c r="N716" i="17" s="1"/>
  <c r="I717" i="17"/>
  <c r="N717" i="17" s="1" a="1"/>
  <c r="N717" i="17" s="1"/>
  <c r="I718" i="17"/>
  <c r="N718" i="17" s="1" a="1"/>
  <c r="N718" i="17" s="1"/>
  <c r="I719" i="17"/>
  <c r="N719" i="17" s="1" a="1"/>
  <c r="N719" i="17" s="1"/>
  <c r="I720" i="17"/>
  <c r="N720" i="17" s="1" a="1"/>
  <c r="N720" i="17" s="1"/>
  <c r="I721" i="17"/>
  <c r="N721" i="17" s="1" a="1"/>
  <c r="N721" i="17" s="1"/>
  <c r="I722" i="17"/>
  <c r="N722" i="17" s="1" a="1"/>
  <c r="N722" i="17" s="1"/>
  <c r="I723" i="17"/>
  <c r="N723" i="17" s="1" a="1"/>
  <c r="N723" i="17" s="1"/>
  <c r="I724" i="17"/>
  <c r="N724" i="17" s="1" a="1"/>
  <c r="N724" i="17" s="1"/>
  <c r="I725" i="17"/>
  <c r="N725" i="17" s="1" a="1"/>
  <c r="N725" i="17" s="1"/>
  <c r="I726" i="17"/>
  <c r="N726" i="17" s="1" a="1"/>
  <c r="N726" i="17" s="1"/>
  <c r="I727" i="17"/>
  <c r="N727" i="17" s="1" a="1"/>
  <c r="N727" i="17" s="1"/>
  <c r="I728" i="17"/>
  <c r="N728" i="17" s="1" a="1"/>
  <c r="N728" i="17" s="1"/>
  <c r="I729" i="17"/>
  <c r="N729" i="17" s="1" a="1"/>
  <c r="N729" i="17" s="1"/>
  <c r="I730" i="17"/>
  <c r="N730" i="17" s="1" a="1"/>
  <c r="N730" i="17" s="1"/>
  <c r="I731" i="17"/>
  <c r="N731" i="17" s="1" a="1"/>
  <c r="N731" i="17" s="1"/>
  <c r="I732" i="17"/>
  <c r="N732" i="17" s="1" a="1"/>
  <c r="N732" i="17" s="1"/>
  <c r="I733" i="17"/>
  <c r="N733" i="17" s="1" a="1"/>
  <c r="N733" i="17" s="1"/>
  <c r="I734" i="17"/>
  <c r="N734" i="17" s="1" a="1"/>
  <c r="N734" i="17" s="1"/>
  <c r="I735" i="17"/>
  <c r="N735" i="17" s="1" a="1"/>
  <c r="N735" i="17" s="1"/>
  <c r="I736" i="17"/>
  <c r="N736" i="17" s="1" a="1"/>
  <c r="N736" i="17" s="1"/>
  <c r="I737" i="17"/>
  <c r="N737" i="17" s="1" a="1"/>
  <c r="N737" i="17" s="1"/>
  <c r="I738" i="17"/>
  <c r="N738" i="17" s="1" a="1"/>
  <c r="N738" i="17" s="1"/>
  <c r="I739" i="17"/>
  <c r="N739" i="17" s="1" a="1"/>
  <c r="N739" i="17" s="1"/>
  <c r="I740" i="17"/>
  <c r="N740" i="17" s="1" a="1"/>
  <c r="N740" i="17" s="1"/>
  <c r="I741" i="17"/>
  <c r="N741" i="17" s="1" a="1"/>
  <c r="N741" i="17" s="1"/>
  <c r="I742" i="17"/>
  <c r="N742" i="17" s="1" a="1"/>
  <c r="N742" i="17" s="1"/>
  <c r="I743" i="17"/>
  <c r="N743" i="17" s="1" a="1"/>
  <c r="N743" i="17" s="1"/>
  <c r="I744" i="17"/>
  <c r="N744" i="17" s="1" a="1"/>
  <c r="N744" i="17" s="1"/>
  <c r="I745" i="17"/>
  <c r="N745" i="17" s="1" a="1"/>
  <c r="N745" i="17" s="1"/>
  <c r="I746" i="17"/>
  <c r="N746" i="17" s="1" a="1"/>
  <c r="N746" i="17" s="1"/>
  <c r="I747" i="17"/>
  <c r="N747" i="17" s="1" a="1"/>
  <c r="N747" i="17" s="1"/>
  <c r="I748" i="17"/>
  <c r="N748" i="17" s="1" a="1"/>
  <c r="N748" i="17" s="1"/>
  <c r="I749" i="17"/>
  <c r="N749" i="17" s="1" a="1"/>
  <c r="N749" i="17" s="1"/>
  <c r="I750" i="17"/>
  <c r="N750" i="17" s="1" a="1"/>
  <c r="N750" i="17" s="1"/>
  <c r="I751" i="17"/>
  <c r="N751" i="17" s="1" a="1"/>
  <c r="N751" i="17" s="1"/>
  <c r="I752" i="17"/>
  <c r="N752" i="17" s="1" a="1"/>
  <c r="N752" i="17" s="1"/>
  <c r="I753" i="17"/>
  <c r="N753" i="17" s="1" a="1"/>
  <c r="N753" i="17" s="1"/>
  <c r="I754" i="17"/>
  <c r="N754" i="17" s="1" a="1"/>
  <c r="N754" i="17" s="1"/>
  <c r="I755" i="17"/>
  <c r="N755" i="17" s="1" a="1"/>
  <c r="N755" i="17" s="1"/>
  <c r="I756" i="17"/>
  <c r="N756" i="17" s="1" a="1"/>
  <c r="N756" i="17" s="1"/>
  <c r="I757" i="17"/>
  <c r="N757" i="17" s="1" a="1"/>
  <c r="N757" i="17" s="1"/>
  <c r="I758" i="17"/>
  <c r="N758" i="17" s="1" a="1"/>
  <c r="N758" i="17" s="1"/>
  <c r="I759" i="17"/>
  <c r="N759" i="17" s="1" a="1"/>
  <c r="N759" i="17" s="1"/>
  <c r="I760" i="17"/>
  <c r="N760" i="17" s="1" a="1"/>
  <c r="N760" i="17" s="1"/>
  <c r="I761" i="17"/>
  <c r="N761" i="17" s="1" a="1"/>
  <c r="N761" i="17" s="1"/>
  <c r="I762" i="17"/>
  <c r="N762" i="17" s="1" a="1"/>
  <c r="N762" i="17" s="1"/>
  <c r="I763" i="17"/>
  <c r="N763" i="17" s="1" a="1"/>
  <c r="N763" i="17" s="1"/>
  <c r="I764" i="17"/>
  <c r="N764" i="17" s="1" a="1"/>
  <c r="N764" i="17" s="1"/>
  <c r="I765" i="17"/>
  <c r="N765" i="17" s="1" a="1"/>
  <c r="N765" i="17" s="1"/>
  <c r="I766" i="17"/>
  <c r="N766" i="17" s="1" a="1"/>
  <c r="N766" i="17" s="1"/>
  <c r="I767" i="17"/>
  <c r="N767" i="17" s="1" a="1"/>
  <c r="N767" i="17" s="1"/>
  <c r="I768" i="17"/>
  <c r="N768" i="17" s="1" a="1"/>
  <c r="N768" i="17" s="1"/>
  <c r="I769" i="17"/>
  <c r="N769" i="17" s="1" a="1"/>
  <c r="N769" i="17" s="1"/>
  <c r="I770" i="17"/>
  <c r="N770" i="17" s="1" a="1"/>
  <c r="N770" i="17" s="1"/>
  <c r="I771" i="17"/>
  <c r="N771" i="17" s="1" a="1"/>
  <c r="N771" i="17" s="1"/>
  <c r="I772" i="17"/>
  <c r="N772" i="17" s="1" a="1"/>
  <c r="N772" i="17" s="1"/>
  <c r="I773" i="17"/>
  <c r="N773" i="17" s="1" a="1"/>
  <c r="N773" i="17" s="1"/>
  <c r="I774" i="17"/>
  <c r="N774" i="17" s="1" a="1"/>
  <c r="N774" i="17" s="1"/>
  <c r="I775" i="17"/>
  <c r="N775" i="17" s="1" a="1"/>
  <c r="N775" i="17" s="1"/>
  <c r="I776" i="17"/>
  <c r="N776" i="17" s="1" a="1"/>
  <c r="N776" i="17" s="1"/>
  <c r="I777" i="17"/>
  <c r="N777" i="17" s="1" a="1"/>
  <c r="N777" i="17" s="1"/>
  <c r="I778" i="17"/>
  <c r="N778" i="17" s="1" a="1"/>
  <c r="N778" i="17" s="1"/>
  <c r="I779" i="17"/>
  <c r="N779" i="17" s="1" a="1"/>
  <c r="N779" i="17" s="1"/>
  <c r="I780" i="17"/>
  <c r="N780" i="17" s="1" a="1"/>
  <c r="N780" i="17" s="1"/>
  <c r="I781" i="17"/>
  <c r="N781" i="17" s="1" a="1"/>
  <c r="N781" i="17" s="1"/>
  <c r="I782" i="17"/>
  <c r="N782" i="17" s="1" a="1"/>
  <c r="N782" i="17" s="1"/>
  <c r="I783" i="17"/>
  <c r="N783" i="17" s="1" a="1"/>
  <c r="N783" i="17" s="1"/>
  <c r="I784" i="17"/>
  <c r="N784" i="17" s="1" a="1"/>
  <c r="N784" i="17" s="1"/>
  <c r="I785" i="17"/>
  <c r="N785" i="17" s="1" a="1"/>
  <c r="N785" i="17" s="1"/>
  <c r="I786" i="17"/>
  <c r="N786" i="17" s="1" a="1"/>
  <c r="N786" i="17" s="1"/>
  <c r="I787" i="17"/>
  <c r="N787" i="17" s="1" a="1"/>
  <c r="N787" i="17" s="1"/>
  <c r="I788" i="17"/>
  <c r="N788" i="17" s="1" a="1"/>
  <c r="N788" i="17" s="1"/>
  <c r="I789" i="17"/>
  <c r="N789" i="17" s="1" a="1"/>
  <c r="N789" i="17" s="1"/>
  <c r="I790" i="17"/>
  <c r="N790" i="17" s="1" a="1"/>
  <c r="N790" i="17" s="1"/>
  <c r="I791" i="17"/>
  <c r="N791" i="17" s="1" a="1"/>
  <c r="N791" i="17" s="1"/>
  <c r="I792" i="17"/>
  <c r="N792" i="17" s="1" a="1"/>
  <c r="N792" i="17" s="1"/>
  <c r="I793" i="17"/>
  <c r="N793" i="17" s="1" a="1"/>
  <c r="N793" i="17" s="1"/>
  <c r="I794" i="17"/>
  <c r="N794" i="17" s="1" a="1"/>
  <c r="N794" i="17" s="1"/>
  <c r="I795" i="17"/>
  <c r="N795" i="17" s="1" a="1"/>
  <c r="N795" i="17" s="1"/>
  <c r="I796" i="17"/>
  <c r="N796" i="17" s="1" a="1"/>
  <c r="N796" i="17" s="1"/>
  <c r="I797" i="17"/>
  <c r="N797" i="17" s="1" a="1"/>
  <c r="N797" i="17" s="1"/>
  <c r="I798" i="17"/>
  <c r="N798" i="17" s="1" a="1"/>
  <c r="N798" i="17" s="1"/>
  <c r="I799" i="17"/>
  <c r="N799" i="17" s="1" a="1"/>
  <c r="N799" i="17" s="1"/>
  <c r="I800" i="17"/>
  <c r="N800" i="17" s="1" a="1"/>
  <c r="N800" i="17" s="1"/>
  <c r="I801" i="17"/>
  <c r="N801" i="17" s="1" a="1"/>
  <c r="N801" i="17" s="1"/>
  <c r="I802" i="17"/>
  <c r="N802" i="17" s="1" a="1"/>
  <c r="N802" i="17" s="1"/>
  <c r="I803" i="17"/>
  <c r="N803" i="17" s="1" a="1"/>
  <c r="N803" i="17" s="1"/>
  <c r="I804" i="17"/>
  <c r="N804" i="17" s="1" a="1"/>
  <c r="N804" i="17" s="1"/>
  <c r="I805" i="17"/>
  <c r="N805" i="17" s="1" a="1"/>
  <c r="N805" i="17" s="1"/>
  <c r="I806" i="17"/>
  <c r="N806" i="17" s="1" a="1"/>
  <c r="N806" i="17" s="1"/>
  <c r="I807" i="17"/>
  <c r="N807" i="17" s="1" a="1"/>
  <c r="N807" i="17" s="1"/>
  <c r="I808" i="17"/>
  <c r="N808" i="17" s="1" a="1"/>
  <c r="N808" i="17" s="1"/>
  <c r="I809" i="17"/>
  <c r="N809" i="17" s="1" a="1"/>
  <c r="N809" i="17" s="1"/>
  <c r="I810" i="17"/>
  <c r="N810" i="17" s="1" a="1"/>
  <c r="N810" i="17" s="1"/>
  <c r="I811" i="17"/>
  <c r="N811" i="17" s="1" a="1"/>
  <c r="N811" i="17" s="1"/>
  <c r="I812" i="17"/>
  <c r="N812" i="17" s="1" a="1"/>
  <c r="N812" i="17" s="1"/>
  <c r="I813" i="17"/>
  <c r="N813" i="17" s="1" a="1"/>
  <c r="N813" i="17" s="1"/>
  <c r="I814" i="17"/>
  <c r="N814" i="17" s="1" a="1"/>
  <c r="N814" i="17" s="1"/>
  <c r="I815" i="17"/>
  <c r="N815" i="17" s="1" a="1"/>
  <c r="N815" i="17" s="1"/>
  <c r="I816" i="17"/>
  <c r="N816" i="17" s="1" a="1"/>
  <c r="N816" i="17" s="1"/>
  <c r="I817" i="17"/>
  <c r="N817" i="17" s="1" a="1"/>
  <c r="N817" i="17" s="1"/>
  <c r="I818" i="17"/>
  <c r="N818" i="17" s="1" a="1"/>
  <c r="N818" i="17" s="1"/>
  <c r="I819" i="17"/>
  <c r="N819" i="17" s="1" a="1"/>
  <c r="N819" i="17" s="1"/>
  <c r="I820" i="17"/>
  <c r="N820" i="17" s="1" a="1"/>
  <c r="N820" i="17" s="1"/>
  <c r="I821" i="17"/>
  <c r="N821" i="17" s="1" a="1"/>
  <c r="N821" i="17" s="1"/>
  <c r="I822" i="17"/>
  <c r="N822" i="17" s="1" a="1"/>
  <c r="N822" i="17" s="1"/>
  <c r="I823" i="17"/>
  <c r="N823" i="17" s="1" a="1"/>
  <c r="N823" i="17" s="1"/>
  <c r="I824" i="17"/>
  <c r="N824" i="17" s="1" a="1"/>
  <c r="N824" i="17" s="1"/>
  <c r="I825" i="17"/>
  <c r="N825" i="17" s="1" a="1"/>
  <c r="N825" i="17" s="1"/>
  <c r="I826" i="17"/>
  <c r="N826" i="17" s="1" a="1"/>
  <c r="N826" i="17" s="1"/>
  <c r="I827" i="17"/>
  <c r="N827" i="17" s="1" a="1"/>
  <c r="N827" i="17" s="1"/>
  <c r="I828" i="17"/>
  <c r="N828" i="17" s="1" a="1"/>
  <c r="N828" i="17" s="1"/>
  <c r="I829" i="17"/>
  <c r="N829" i="17" s="1" a="1"/>
  <c r="N829" i="17" s="1"/>
  <c r="I830" i="17"/>
  <c r="N830" i="17" s="1" a="1"/>
  <c r="N830" i="17" s="1"/>
  <c r="I831" i="17"/>
  <c r="N831" i="17" s="1" a="1"/>
  <c r="N831" i="17" s="1"/>
  <c r="I832" i="17"/>
  <c r="N832" i="17" s="1" a="1"/>
  <c r="N832" i="17" s="1"/>
  <c r="I833" i="17"/>
  <c r="N833" i="17" s="1" a="1"/>
  <c r="N833" i="17" s="1"/>
  <c r="I834" i="17"/>
  <c r="N834" i="17" s="1" a="1"/>
  <c r="N834" i="17" s="1"/>
  <c r="I835" i="17"/>
  <c r="N835" i="17" s="1" a="1"/>
  <c r="N835" i="17" s="1"/>
  <c r="I836" i="17"/>
  <c r="N836" i="17" s="1" a="1"/>
  <c r="N836" i="17" s="1"/>
  <c r="I837" i="17"/>
  <c r="N837" i="17" s="1" a="1"/>
  <c r="N837" i="17" s="1"/>
  <c r="I838" i="17"/>
  <c r="N838" i="17" s="1" a="1"/>
  <c r="N838" i="17" s="1"/>
  <c r="I839" i="17"/>
  <c r="N839" i="17" s="1" a="1"/>
  <c r="N839" i="17" s="1"/>
  <c r="I840" i="17"/>
  <c r="N840" i="17" s="1" a="1"/>
  <c r="N840" i="17" s="1"/>
  <c r="I841" i="17"/>
  <c r="N841" i="17" s="1" a="1"/>
  <c r="N841" i="17" s="1"/>
  <c r="I842" i="17"/>
  <c r="N842" i="17" s="1" a="1"/>
  <c r="N842" i="17" s="1"/>
  <c r="I843" i="17"/>
  <c r="N843" i="17" s="1" a="1"/>
  <c r="N843" i="17" s="1"/>
  <c r="I844" i="17"/>
  <c r="N844" i="17" s="1" a="1"/>
  <c r="N844" i="17" s="1"/>
  <c r="I845" i="17"/>
  <c r="N845" i="17" s="1" a="1"/>
  <c r="N845" i="17" s="1"/>
  <c r="I846" i="17"/>
  <c r="N846" i="17" s="1" a="1"/>
  <c r="N846" i="17" s="1"/>
  <c r="I847" i="17"/>
  <c r="N847" i="17" s="1" a="1"/>
  <c r="N847" i="17" s="1"/>
  <c r="I848" i="17"/>
  <c r="N848" i="17" s="1" a="1"/>
  <c r="N848" i="17" s="1"/>
  <c r="I849" i="17"/>
  <c r="N849" i="17" s="1" a="1"/>
  <c r="N849" i="17" s="1"/>
  <c r="I850" i="17"/>
  <c r="N850" i="17" s="1" a="1"/>
  <c r="N850" i="17" s="1"/>
  <c r="I851" i="17"/>
  <c r="N851" i="17" s="1" a="1"/>
  <c r="N851" i="17" s="1"/>
  <c r="I852" i="17"/>
  <c r="N852" i="17" s="1" a="1"/>
  <c r="N852" i="17" s="1"/>
  <c r="I853" i="17"/>
  <c r="N853" i="17" s="1" a="1"/>
  <c r="N853" i="17" s="1"/>
  <c r="I854" i="17"/>
  <c r="N854" i="17" s="1" a="1"/>
  <c r="N854" i="17" s="1"/>
  <c r="I855" i="17"/>
  <c r="N855" i="17" s="1" a="1"/>
  <c r="N855" i="17" s="1"/>
  <c r="I856" i="17"/>
  <c r="N856" i="17" s="1" a="1"/>
  <c r="N856" i="17" s="1"/>
  <c r="I857" i="17"/>
  <c r="N857" i="17" s="1" a="1"/>
  <c r="N857" i="17" s="1"/>
  <c r="I858" i="17"/>
  <c r="N858" i="17" s="1" a="1"/>
  <c r="N858" i="17" s="1"/>
  <c r="I859" i="17"/>
  <c r="N859" i="17" s="1" a="1"/>
  <c r="N859" i="17" s="1"/>
  <c r="I860" i="17"/>
  <c r="N860" i="17" s="1" a="1"/>
  <c r="N860" i="17" s="1"/>
  <c r="I861" i="17"/>
  <c r="N861" i="17" s="1" a="1"/>
  <c r="N861" i="17" s="1"/>
  <c r="I862" i="17"/>
  <c r="N862" i="17" s="1" a="1"/>
  <c r="N862" i="17" s="1"/>
  <c r="I863" i="17"/>
  <c r="N863" i="17" s="1" a="1"/>
  <c r="N863" i="17" s="1"/>
  <c r="I864" i="17"/>
  <c r="N864" i="17" s="1" a="1"/>
  <c r="N864" i="17" s="1"/>
  <c r="I865" i="17"/>
  <c r="N865" i="17" s="1" a="1"/>
  <c r="N865" i="17" s="1"/>
  <c r="I866" i="17"/>
  <c r="N866" i="17" s="1" a="1"/>
  <c r="N866" i="17" s="1"/>
  <c r="I867" i="17"/>
  <c r="N867" i="17" s="1" a="1"/>
  <c r="N867" i="17" s="1"/>
  <c r="I868" i="17"/>
  <c r="N868" i="17" s="1" a="1"/>
  <c r="N868" i="17" s="1"/>
  <c r="I869" i="17"/>
  <c r="N869" i="17" s="1" a="1"/>
  <c r="N869" i="17" s="1"/>
  <c r="I870" i="17"/>
  <c r="N870" i="17" s="1" a="1"/>
  <c r="N870" i="17" s="1"/>
  <c r="I871" i="17"/>
  <c r="N871" i="17" s="1" a="1"/>
  <c r="N871" i="17" s="1"/>
  <c r="I872" i="17"/>
  <c r="N872" i="17" s="1" a="1"/>
  <c r="N872" i="17" s="1"/>
  <c r="I873" i="17"/>
  <c r="N873" i="17" s="1" a="1"/>
  <c r="N873" i="17" s="1"/>
  <c r="I874" i="17"/>
  <c r="N874" i="17" s="1" a="1"/>
  <c r="N874" i="17" s="1"/>
  <c r="I875" i="17"/>
  <c r="N875" i="17" s="1" a="1"/>
  <c r="N875" i="17" s="1"/>
  <c r="I876" i="17"/>
  <c r="N876" i="17" s="1" a="1"/>
  <c r="N876" i="17" s="1"/>
  <c r="I877" i="17"/>
  <c r="N877" i="17" s="1" a="1"/>
  <c r="N877" i="17" s="1"/>
  <c r="I878" i="17"/>
  <c r="N878" i="17" s="1" a="1"/>
  <c r="N878" i="17" s="1"/>
  <c r="I879" i="17"/>
  <c r="N879" i="17" s="1" a="1"/>
  <c r="N879" i="17" s="1"/>
  <c r="I880" i="17"/>
  <c r="N880" i="17" s="1" a="1"/>
  <c r="N880" i="17" s="1"/>
  <c r="I881" i="17"/>
  <c r="N881" i="17" s="1" a="1"/>
  <c r="N881" i="17" s="1"/>
  <c r="I882" i="17"/>
  <c r="N882" i="17" s="1" a="1"/>
  <c r="N882" i="17" s="1"/>
  <c r="I883" i="17"/>
  <c r="N883" i="17" s="1" a="1"/>
  <c r="N883" i="17" s="1"/>
  <c r="I884" i="17"/>
  <c r="N884" i="17" s="1" a="1"/>
  <c r="N884" i="17" s="1"/>
  <c r="I885" i="17"/>
  <c r="N885" i="17" s="1" a="1"/>
  <c r="N885" i="17" s="1"/>
  <c r="I886" i="17"/>
  <c r="N886" i="17" s="1" a="1"/>
  <c r="N886" i="17" s="1"/>
  <c r="I887" i="17"/>
  <c r="N887" i="17" s="1" a="1"/>
  <c r="N887" i="17" s="1"/>
  <c r="I888" i="17"/>
  <c r="N888" i="17" s="1" a="1"/>
  <c r="N888" i="17" s="1"/>
  <c r="I889" i="17"/>
  <c r="N889" i="17" s="1" a="1"/>
  <c r="N889" i="17" s="1"/>
  <c r="I890" i="17"/>
  <c r="N890" i="17" s="1" a="1"/>
  <c r="N890" i="17" s="1"/>
  <c r="I891" i="17"/>
  <c r="N891" i="17" s="1" a="1"/>
  <c r="N891" i="17" s="1"/>
  <c r="I892" i="17"/>
  <c r="N892" i="17" s="1" a="1"/>
  <c r="N892" i="17" s="1"/>
  <c r="I893" i="17"/>
  <c r="N893" i="17" s="1" a="1"/>
  <c r="N893" i="17" s="1"/>
  <c r="I894" i="17"/>
  <c r="N894" i="17" s="1" a="1"/>
  <c r="N894" i="17" s="1"/>
  <c r="I895" i="17"/>
  <c r="N895" i="17" s="1" a="1"/>
  <c r="N895" i="17" s="1"/>
  <c r="I896" i="17"/>
  <c r="N896" i="17" s="1" a="1"/>
  <c r="N896" i="17" s="1"/>
  <c r="I897" i="17"/>
  <c r="N897" i="17" s="1" a="1"/>
  <c r="N897" i="17" s="1"/>
  <c r="I898" i="17"/>
  <c r="N898" i="17" s="1" a="1"/>
  <c r="N898" i="17" s="1"/>
  <c r="I899" i="17"/>
  <c r="N899" i="17" s="1" a="1"/>
  <c r="N899" i="17" s="1"/>
  <c r="I900" i="17"/>
  <c r="N900" i="17" s="1" a="1"/>
  <c r="N900" i="17" s="1"/>
  <c r="I901" i="17"/>
  <c r="N901" i="17" s="1" a="1"/>
  <c r="N901" i="17" s="1"/>
  <c r="I902" i="17"/>
  <c r="N902" i="17" s="1" a="1"/>
  <c r="N902" i="17" s="1"/>
  <c r="I903" i="17"/>
  <c r="N903" i="17" s="1" a="1"/>
  <c r="N903" i="17" s="1"/>
  <c r="I904" i="17"/>
  <c r="N904" i="17" s="1" a="1"/>
  <c r="N904" i="17" s="1"/>
  <c r="I905" i="17"/>
  <c r="N905" i="17" s="1" a="1"/>
  <c r="N905" i="17" s="1"/>
  <c r="I906" i="17"/>
  <c r="N906" i="17" s="1" a="1"/>
  <c r="N906" i="17" s="1"/>
  <c r="I907" i="17"/>
  <c r="N907" i="17" s="1" a="1"/>
  <c r="N907" i="17" s="1"/>
  <c r="I908" i="17"/>
  <c r="N908" i="17" s="1" a="1"/>
  <c r="N908" i="17" s="1"/>
  <c r="I909" i="17"/>
  <c r="N909" i="17" s="1" a="1"/>
  <c r="N909" i="17" s="1"/>
  <c r="I910" i="17"/>
  <c r="N910" i="17" s="1" a="1"/>
  <c r="N910" i="17" s="1"/>
  <c r="I911" i="17"/>
  <c r="N911" i="17" s="1" a="1"/>
  <c r="N911" i="17" s="1"/>
  <c r="I912" i="17"/>
  <c r="N912" i="17" s="1" a="1"/>
  <c r="N912" i="17" s="1"/>
  <c r="I913" i="17"/>
  <c r="N913" i="17" s="1" a="1"/>
  <c r="N913" i="17" s="1"/>
  <c r="I914" i="17"/>
  <c r="N914" i="17" s="1" a="1"/>
  <c r="N914" i="17" s="1"/>
  <c r="I915" i="17"/>
  <c r="N915" i="17" s="1" a="1"/>
  <c r="N915" i="17" s="1"/>
  <c r="I916" i="17"/>
  <c r="N916" i="17" s="1" a="1"/>
  <c r="N916" i="17" s="1"/>
  <c r="I917" i="17"/>
  <c r="N917" i="17" s="1" a="1"/>
  <c r="N917" i="17" s="1"/>
  <c r="I918" i="17"/>
  <c r="N918" i="17" s="1" a="1"/>
  <c r="N918" i="17" s="1"/>
  <c r="I919" i="17"/>
  <c r="N919" i="17" s="1" a="1"/>
  <c r="N919" i="17" s="1"/>
  <c r="I920" i="17"/>
  <c r="N920" i="17" s="1" a="1"/>
  <c r="N920" i="17" s="1"/>
  <c r="I921" i="17"/>
  <c r="N921" i="17" s="1" a="1"/>
  <c r="N921" i="17" s="1"/>
  <c r="I922" i="17"/>
  <c r="N922" i="17" s="1" a="1"/>
  <c r="N922" i="17" s="1"/>
  <c r="I923" i="17"/>
  <c r="N923" i="17" s="1" a="1"/>
  <c r="N923" i="17" s="1"/>
  <c r="I924" i="17"/>
  <c r="N924" i="17" s="1" a="1"/>
  <c r="N924" i="17" s="1"/>
  <c r="I925" i="17"/>
  <c r="N925" i="17" s="1" a="1"/>
  <c r="N925" i="17" s="1"/>
  <c r="I926" i="17"/>
  <c r="N926" i="17" s="1" a="1"/>
  <c r="N926" i="17" s="1"/>
  <c r="I927" i="17"/>
  <c r="N927" i="17" s="1" a="1"/>
  <c r="N927" i="17" s="1"/>
  <c r="I928" i="17"/>
  <c r="N928" i="17" s="1" a="1"/>
  <c r="N928" i="17" s="1"/>
  <c r="I929" i="17"/>
  <c r="N929" i="17" s="1" a="1"/>
  <c r="N929" i="17" s="1"/>
  <c r="I930" i="17"/>
  <c r="N930" i="17" s="1" a="1"/>
  <c r="N930" i="17" s="1"/>
  <c r="I931" i="17"/>
  <c r="N931" i="17" s="1" a="1"/>
  <c r="N931" i="17" s="1"/>
  <c r="I932" i="17"/>
  <c r="N932" i="17" s="1" a="1"/>
  <c r="N932" i="17" s="1"/>
  <c r="I933" i="17"/>
  <c r="N933" i="17" s="1" a="1"/>
  <c r="N933" i="17" s="1"/>
  <c r="I934" i="17"/>
  <c r="N934" i="17" s="1" a="1"/>
  <c r="N934" i="17" s="1"/>
  <c r="I935" i="17"/>
  <c r="N935" i="17" s="1" a="1"/>
  <c r="N935" i="17" s="1"/>
  <c r="I936" i="17"/>
  <c r="N936" i="17" s="1" a="1"/>
  <c r="N936" i="17" s="1"/>
  <c r="I937" i="17"/>
  <c r="N937" i="17" s="1" a="1"/>
  <c r="N937" i="17" s="1"/>
  <c r="I938" i="17"/>
  <c r="N938" i="17" s="1" a="1"/>
  <c r="N938" i="17" s="1"/>
  <c r="I939" i="17"/>
  <c r="N939" i="17" s="1" a="1"/>
  <c r="N939" i="17" s="1"/>
  <c r="I940" i="17"/>
  <c r="N940" i="17" s="1" a="1"/>
  <c r="N940" i="17" s="1"/>
  <c r="I941" i="17"/>
  <c r="N941" i="17" s="1" a="1"/>
  <c r="N941" i="17" s="1"/>
  <c r="I942" i="17"/>
  <c r="N942" i="17" s="1" a="1"/>
  <c r="N942" i="17" s="1"/>
  <c r="I943" i="17"/>
  <c r="N943" i="17" s="1" a="1"/>
  <c r="N943" i="17" s="1"/>
  <c r="I944" i="17"/>
  <c r="N944" i="17" s="1" a="1"/>
  <c r="N944" i="17" s="1"/>
  <c r="I945" i="17"/>
  <c r="N945" i="17" s="1" a="1"/>
  <c r="N945" i="17" s="1"/>
  <c r="I946" i="17"/>
  <c r="N946" i="17" s="1" a="1"/>
  <c r="N946" i="17" s="1"/>
  <c r="I947" i="17"/>
  <c r="N947" i="17" s="1" a="1"/>
  <c r="N947" i="17" s="1"/>
  <c r="I948" i="17"/>
  <c r="N948" i="17" s="1" a="1"/>
  <c r="N948" i="17" s="1"/>
  <c r="I949" i="17"/>
  <c r="N949" i="17" s="1" a="1"/>
  <c r="N949" i="17" s="1"/>
  <c r="I950" i="17"/>
  <c r="N950" i="17" s="1" a="1"/>
  <c r="N950" i="17" s="1"/>
  <c r="I951" i="17"/>
  <c r="N951" i="17" s="1" a="1"/>
  <c r="N951" i="17" s="1"/>
  <c r="I952" i="17"/>
  <c r="N952" i="17" s="1" a="1"/>
  <c r="N952" i="17" s="1"/>
  <c r="I953" i="17"/>
  <c r="N953" i="17" s="1" a="1"/>
  <c r="N953" i="17" s="1"/>
  <c r="I954" i="17"/>
  <c r="N954" i="17" s="1" a="1"/>
  <c r="N954" i="17" s="1"/>
  <c r="I955" i="17"/>
  <c r="N955" i="17" s="1" a="1"/>
  <c r="N955" i="17" s="1"/>
  <c r="I956" i="17"/>
  <c r="N956" i="17" s="1" a="1"/>
  <c r="N956" i="17" s="1"/>
  <c r="I957" i="17"/>
  <c r="N957" i="17" s="1" a="1"/>
  <c r="N957" i="17" s="1"/>
  <c r="I958" i="17"/>
  <c r="N958" i="17" s="1" a="1"/>
  <c r="N958" i="17" s="1"/>
  <c r="I959" i="17"/>
  <c r="N959" i="17" s="1" a="1"/>
  <c r="N959" i="17" s="1"/>
  <c r="I960" i="17"/>
  <c r="N960" i="17" s="1" a="1"/>
  <c r="N960" i="17" s="1"/>
  <c r="I961" i="17"/>
  <c r="N961" i="17" s="1" a="1"/>
  <c r="N961" i="17" s="1"/>
  <c r="I962" i="17"/>
  <c r="N962" i="17" s="1" a="1"/>
  <c r="N962" i="17" s="1"/>
  <c r="I963" i="17"/>
  <c r="N963" i="17" s="1" a="1"/>
  <c r="N963" i="17" s="1"/>
  <c r="I964" i="17"/>
  <c r="N964" i="17" s="1" a="1"/>
  <c r="N964" i="17" s="1"/>
  <c r="I965" i="17"/>
  <c r="N965" i="17" s="1" a="1"/>
  <c r="N965" i="17" s="1"/>
  <c r="I966" i="17"/>
  <c r="N966" i="17" s="1" a="1"/>
  <c r="N966" i="17" s="1"/>
  <c r="I967" i="17"/>
  <c r="N967" i="17" s="1" a="1"/>
  <c r="N967" i="17" s="1"/>
  <c r="I968" i="17"/>
  <c r="N968" i="17" s="1" a="1"/>
  <c r="N968" i="17" s="1"/>
  <c r="I969" i="17"/>
  <c r="N969" i="17" s="1" a="1"/>
  <c r="N969" i="17" s="1"/>
  <c r="I970" i="17"/>
  <c r="N970" i="17" s="1" a="1"/>
  <c r="N970" i="17" s="1"/>
  <c r="I971" i="17"/>
  <c r="N971" i="17" s="1" a="1"/>
  <c r="N971" i="17" s="1"/>
  <c r="I972" i="17"/>
  <c r="N972" i="17" s="1" a="1"/>
  <c r="N972" i="17" s="1"/>
  <c r="I973" i="17"/>
  <c r="N973" i="17" s="1" a="1"/>
  <c r="N973" i="17" s="1"/>
  <c r="I974" i="17"/>
  <c r="N974" i="17" s="1" a="1"/>
  <c r="N974" i="17" s="1"/>
  <c r="I975" i="17"/>
  <c r="N975" i="17" s="1" a="1"/>
  <c r="N975" i="17" s="1"/>
  <c r="I976" i="17"/>
  <c r="N976" i="17" s="1" a="1"/>
  <c r="N976" i="17" s="1"/>
  <c r="I977" i="17"/>
  <c r="N977" i="17" s="1" a="1"/>
  <c r="N977" i="17" s="1"/>
  <c r="I978" i="17"/>
  <c r="N978" i="17" s="1" a="1"/>
  <c r="N978" i="17" s="1"/>
  <c r="I979" i="17"/>
  <c r="N979" i="17" s="1" a="1"/>
  <c r="I980" i="17"/>
  <c r="N980" i="17" s="1" a="1"/>
  <c r="N980" i="17" s="1"/>
  <c r="I981" i="17"/>
  <c r="N981" i="17" s="1" a="1"/>
  <c r="N981" i="17" s="1"/>
  <c r="I982" i="17"/>
  <c r="N982" i="17" s="1" a="1"/>
  <c r="I983" i="17"/>
  <c r="N983" i="17" s="1" a="1"/>
  <c r="N983" i="17" s="1"/>
  <c r="I984" i="17"/>
  <c r="N984" i="17" s="1" a="1"/>
  <c r="N984" i="17" s="1"/>
  <c r="I985" i="17"/>
  <c r="N985" i="17" s="1" a="1"/>
  <c r="N985" i="17" s="1"/>
  <c r="I986" i="17"/>
  <c r="N986" i="17" s="1" a="1"/>
  <c r="N986" i="17" s="1"/>
  <c r="I987" i="17"/>
  <c r="N987" i="17" s="1" a="1"/>
  <c r="N987" i="17" s="1"/>
  <c r="I988" i="17"/>
  <c r="N988" i="17" s="1" a="1"/>
  <c r="N988" i="17" s="1"/>
  <c r="I989" i="17"/>
  <c r="N989" i="17" s="1" a="1"/>
  <c r="N989" i="17" s="1"/>
  <c r="I990" i="17"/>
  <c r="N990" i="17" s="1" a="1"/>
  <c r="N990" i="17" s="1"/>
  <c r="I991" i="17"/>
  <c r="N991" i="17" s="1" a="1"/>
  <c r="N991" i="17" s="1"/>
  <c r="I992" i="17"/>
  <c r="N992" i="17" s="1" a="1"/>
  <c r="N992" i="17" s="1"/>
  <c r="I993" i="17"/>
  <c r="N993" i="17" s="1" a="1"/>
  <c r="N993" i="17" s="1"/>
  <c r="I994" i="17"/>
  <c r="N994" i="17" s="1" a="1"/>
  <c r="N994" i="17" s="1"/>
  <c r="I995" i="17"/>
  <c r="N995" i="17" s="1" a="1"/>
  <c r="N995" i="17" s="1"/>
  <c r="I996" i="17"/>
  <c r="N996" i="17" s="1" a="1"/>
  <c r="N996" i="17" s="1"/>
  <c r="I997" i="17"/>
  <c r="N997" i="17" s="1" a="1"/>
  <c r="N997" i="17" s="1"/>
  <c r="I998" i="17"/>
  <c r="N998" i="17" s="1" a="1"/>
  <c r="N998" i="17" s="1"/>
  <c r="I999" i="17"/>
  <c r="N999" i="17" s="1" a="1"/>
  <c r="N999" i="17" s="1"/>
  <c r="I1000" i="17"/>
  <c r="N1000" i="17" s="1" a="1"/>
  <c r="N1000" i="17" s="1"/>
  <c r="I1001" i="17"/>
  <c r="N1001" i="17" s="1" a="1"/>
  <c r="N1001"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O581" i="17" l="1"/>
  <c r="O715" i="17"/>
  <c r="N979" i="17"/>
  <c r="N982" i="1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<sst xmlns="http://schemas.openxmlformats.org/spreadsheetml/2006/main" count="11132" uniqueCount="6223">
  <si>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</si>
  <si>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</si>
  <si>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</si>
  <si>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</si>
  <si>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</si>
  <si>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</si>
  <si>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</si>
  <si>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</si>
  <si>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</si>
  <si>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</si>
  <si>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</si>
  <si>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</si>
  <si>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</si>
  <si>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</si>
  <si>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</si>
  <si>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</si>
  <si>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</si>
  <si>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</si>
  <si>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</si>
  <si>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</si>
  <si>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</si>
  <si>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</si>
  <si>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</si>
  <si>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</si>
  <si>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</si>
  <si>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</si>
  <si>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</si>
  <si>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</si>
  <si>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</si>
  <si>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</si>
  <si>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</si>
  <si>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</si>
  <si>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</si>
  <si>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</si>
  <si>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</si>
  <si>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</si>
  <si>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</si>
  <si>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</si>
  <si>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</si>
  <si>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</si>
  <si>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</si>
  <si>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</si>
  <si>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</si>
  <si>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</si>
  <si>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</si>
  <si>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</si>
  <si>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</si>
  <si>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</si>
  <si>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</si>
  <si>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</si>
  <si>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</si>
  <si>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</si>
  <si>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</si>
  <si>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</si>
  <si>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</si>
  <si>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</si>
  <si>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</si>
  <si>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</si>
  <si>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</si>
  <si>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</si>
  <si>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</si>
  <si>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</si>
  <si>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</si>
  <si>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</si>
  <si>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</si>
  <si>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</si>
  <si>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</si>
  <si>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</si>
  <si>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</si>
  <si>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</si>
  <si>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</si>
  <si>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</si>
  <si>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</si>
  <si>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</si>
  <si>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</si>
  <si>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</si>
  <si>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</si>
  <si>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</si>
  <si>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</si>
  <si>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</si>
  <si>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</si>
  <si>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</si>
  <si>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</si>
  <si>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</si>
  <si>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</si>
  <si>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</si>
  <si>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</si>
  <si>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</si>
  <si>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</si>
  <si>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</si>
  <si>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</si>
  <si>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</si>
  <si>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</si>
  <si>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</si>
  <si>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</si>
  <si>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</si>
  <si>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</si>
  <si>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</si>
  <si>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</si>
  <si>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</si>
  <si>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</si>
  <si>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</si>
  <si>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</si>
  <si>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</si>
  <si>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</si>
  <si>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</si>
  <si>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</si>
  <si>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</si>
  <si>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</si>
  <si>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</si>
  <si>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</si>
  <si>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</si>
  <si>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</si>
  <si>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</si>
  <si>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</si>
  <si>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</si>
  <si>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</si>
  <si>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</si>
  <si>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</si>
  <si>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</si>
  <si>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</si>
  <si>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</si>
  <si>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</si>
  <si>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</si>
  <si>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</si>
  <si>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</si>
  <si>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</si>
  <si>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</si>
  <si>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</si>
  <si>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</si>
  <si>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</si>
  <si>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</si>
  <si>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</si>
  <si>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</si>
  <si>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</si>
  <si>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</si>
  <si>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</si>
  <si>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</si>
  <si>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</si>
  <si>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</si>
  <si>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</si>
  <si>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</si>
  <si>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</si>
  <si>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</si>
  <si>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</si>
  <si>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</si>
  <si>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</si>
  <si>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</si>
  <si>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</si>
  <si>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</si>
  <si>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</si>
  <si>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</si>
  <si>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</si>
  <si>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</si>
  <si>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</si>
  <si>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</si>
  <si>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</si>
  <si>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</si>
  <si>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</si>
  <si>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</si>
  <si>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</si>
  <si>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</si>
  <si>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</si>
  <si>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</si>
  <si>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</si>
  <si>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</si>
  <si>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</si>
  <si>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</si>
  <si>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</si>
  <si>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</si>
  <si>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</si>
  <si>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</si>
  <si>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</si>
  <si>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</si>
  <si>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</si>
  <si>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</si>
  <si>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</si>
  <si>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</si>
  <si>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</si>
  <si>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</si>
  <si>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</si>
  <si>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</si>
  <si>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</si>
  <si>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</si>
  <si>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</si>
  <si>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</si>
  <si>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</si>
  <si>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</si>
  <si>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</si>
  <si>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</si>
  <si>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</si>
  <si>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</si>
  <si>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</si>
  <si>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</si>
  <si>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</si>
  <si>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</si>
  <si>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</si>
  <si>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</si>
  <si>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</si>
  <si>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</si>
  <si>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</si>
  <si>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</si>
  <si>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</si>
  <si>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</si>
  <si>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</si>
  <si>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</si>
  <si>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</si>
  <si>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</si>
  <si>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</si>
  <si>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</si>
  <si>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</si>
  <si>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</si>
  <si>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</si>
  <si>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</si>
  <si>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</si>
  <si>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</si>
  <si>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</si>
  <si>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</si>
  <si>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</si>
  <si>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</si>
  <si>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</si>
  <si>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</si>
  <si>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</si>
  <si>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</si>
  <si>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</si>
  <si>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</si>
  <si>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</si>
  <si>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</si>
  <si>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</si>
  <si>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</si>
  <si>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</si>
  <si>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</si>
  <si>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</si>
  <si>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</si>
  <si>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</si>
  <si>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</si>
  <si>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</si>
  <si>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</si>
  <si>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</si>
  <si>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</si>
  <si>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</si>
  <si>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</si>
  <si>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</si>
  <si>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</si>
  <si>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</si>
  <si>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</si>
  <si>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</si>
  <si>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</si>
  <si>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</si>
  <si>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</si>
  <si>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</si>
  <si>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</si>
  <si>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</si>
  <si>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</si>
  <si>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</si>
  <si>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</si>
  <si>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</si>
  <si>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</si>
  <si>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</si>
  <si>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</si>
  <si>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</si>
  <si>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</si>
  <si>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</si>
  <si>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</si>
  <si>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</si>
  <si>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</si>
  <si>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</si>
  <si>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</si>
  <si>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</si>
  <si>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</si>
  <si>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</si>
  <si>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</si>
  <si>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</si>
  <si>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</si>
  <si>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</si>
  <si>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</si>
  <si>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</si>
  <si>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</si>
  <si>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</si>
  <si>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</si>
  <si>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</si>
  <si>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</si>
  <si>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</si>
  <si>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</si>
  <si>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</si>
  <si>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</si>
  <si>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</si>
  <si>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</si>
  <si>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</si>
  <si>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</si>
  <si>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</si>
  <si>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</si>
  <si>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</si>
  <si>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</si>
  <si>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</si>
  <si>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</si>
  <si>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</si>
  <si>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</si>
  <si>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</si>
  <si>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</si>
  <si>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</si>
  <si>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</si>
  <si>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</si>
  <si>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</si>
  <si>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</si>
  <si>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</si>
  <si>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</si>
  <si>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</si>
  <si>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</si>
  <si>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</si>
  <si>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</si>
  <si>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</si>
  <si>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</si>
  <si>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</si>
  <si>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</si>
  <si>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</si>
  <si>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</si>
  <si>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</si>
  <si>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</si>
  <si>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</si>
  <si>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</si>
  <si>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</si>
  <si>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</si>
  <si>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</si>
  <si>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</si>
  <si>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</si>
  <si>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</si>
  <si>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</si>
  <si>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</si>
  <si>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</si>
  <si>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</si>
  <si>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</si>
  <si>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</si>
  <si>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</si>
  <si>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</si>
  <si>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</si>
  <si>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</si>
  <si>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</si>
  <si>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</si>
  <si>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</si>
  <si>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</si>
  <si>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</si>
  <si>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</si>
  <si>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</si>
  <si>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</si>
  <si>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</si>
  <si>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</si>
  <si>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</si>
  <si>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</si>
  <si>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</si>
  <si>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</si>
  <si>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</si>
  <si>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</si>
  <si>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</si>
  <si>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</si>
  <si>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</si>
  <si>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</si>
  <si>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</si>
  <si>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</si>
  <si>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</si>
  <si>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</si>
  <si>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</si>
  <si>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</si>
  <si>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</si>
  <si>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</si>
  <si>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</si>
  <si>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</si>
  <si>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</si>
  <si>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</si>
  <si>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</si>
  <si>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</si>
  <si>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</si>
  <si>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</si>
  <si>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</si>
  <si>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</si>
  <si>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</si>
  <si>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</si>
  <si>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</si>
  <si>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</si>
  <si>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</si>
  <si>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</si>
  <si>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</si>
  <si>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</si>
  <si>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</si>
  <si>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</si>
  <si>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</si>
  <si>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</si>
  <si>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</si>
  <si>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</si>
  <si>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</si>
  <si>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</si>
  <si>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</si>
  <si>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</si>
  <si>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</si>
  <si>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</si>
  <si>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</si>
  <si>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</si>
  <si>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</si>
  <si>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</si>
  <si>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</si>
  <si>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</si>
  <si>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</si>
  <si>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</si>
  <si>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</si>
  <si>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</si>
  <si>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</si>
  <si>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</si>
  <si>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</si>
  <si>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</si>
  <si>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</si>
  <si>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</si>
  <si>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</si>
  <si>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</si>
  <si>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</si>
  <si>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</si>
  <si>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</si>
  <si>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</si>
  <si>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</si>
  <si>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</si>
  <si>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</si>
  <si>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</si>
  <si>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</si>
  <si>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</si>
  <si>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</si>
  <si>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</si>
  <si>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</si>
  <si>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</si>
  <si>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</si>
  <si>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</si>
  <si>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</si>
  <si>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</si>
  <si>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</si>
  <si>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</si>
  <si>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</si>
  <si>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</si>
  <si>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</si>
  <si>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</si>
  <si>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</si>
  <si>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</si>
  <si>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</si>
  <si>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</si>
  <si>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</si>
  <si>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</si>
  <si>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</si>
  <si>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</si>
  <si>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</si>
  <si>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</si>
  <si>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</si>
  <si>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</si>
  <si>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</si>
  <si>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</si>
  <si>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</si>
  <si>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</si>
  <si>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</si>
  <si>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</si>
  <si>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</si>
  <si>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</si>
  <si>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</si>
  <si>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</si>
  <si>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</si>
  <si>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</si>
  <si>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</si>
  <si>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</si>
  <si>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</si>
  <si>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</si>
  <si>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</si>
  <si>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</si>
  <si>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</si>
  <si>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</si>
  <si>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</si>
  <si>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</si>
  <si>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</si>
  <si>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</si>
  <si>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</si>
  <si>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</si>
  <si>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</si>
  <si>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</si>
  <si>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</si>
  <si>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</si>
  <si>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</si>
  <si>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</si>
  <si>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</si>
  <si>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</si>
  <si>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</si>
  <si>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</si>
  <si>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</si>
  <si>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</si>
  <si>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</si>
  <si>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</si>
  <si>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</si>
  <si>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</si>
  <si>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</si>
  <si>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</si>
  <si>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</si>
  <si>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</si>
  <si>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</si>
  <si>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</si>
  <si>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</si>
  <si>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</si>
  <si>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</si>
  <si>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</si>
  <si>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</si>
  <si>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</si>
  <si>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</si>
  <si>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</si>
  <si>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</si>
  <si>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</si>
  <si>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</si>
  <si>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</si>
  <si>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</si>
  <si>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</si>
  <si>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</si>
  <si>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</si>
  <si>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</si>
  <si>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</si>
  <si>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</si>
  <si>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</si>
  <si>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</si>
  <si>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</si>
  <si>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</si>
  <si>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</si>
  <si>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</si>
  <si>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</si>
  <si>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</si>
  <si>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</si>
  <si>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</si>
  <si>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</si>
  <si>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</si>
  <si>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</si>
  <si>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</si>
  <si>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</si>
  <si>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</si>
  <si>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</si>
  <si>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</si>
  <si>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</si>
  <si>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</si>
  <si>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</si>
  <si>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</si>
  <si>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</si>
  <si>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</si>
  <si>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</si>
  <si>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</si>
  <si>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</si>
  <si>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</si>
  <si>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</si>
  <si>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</si>
  <si>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</si>
  <si>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</si>
  <si>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</si>
  <si>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</si>
  <si>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</si>
  <si>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</si>
  <si>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</si>
  <si>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</si>
  <si>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</si>
  <si>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</si>
  <si>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</si>
  <si>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</si>
  <si>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</si>
  <si>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</si>
  <si>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</si>
  <si>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</si>
  <si>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</si>
  <si>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</si>
  <si>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</si>
  <si>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</si>
  <si>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</si>
  <si>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</si>
  <si>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</si>
  <si>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</si>
  <si>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</si>
  <si>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</si>
  <si>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</si>
  <si>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</si>
  <si>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</si>
  <si>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</si>
  <si>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</si>
  <si>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</si>
  <si>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</si>
  <si>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</si>
  <si>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</si>
  <si>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</si>
  <si>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</si>
  <si>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</si>
  <si>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</si>
  <si>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</si>
  <si>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</si>
  <si>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</si>
  <si>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</si>
  <si>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</si>
  <si>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</si>
  <si>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</si>
  <si>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</si>
  <si>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</si>
  <si>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</si>
  <si>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</si>
  <si>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</si>
  <si>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</si>
  <si>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</si>
  <si>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</si>
  <si>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</si>
  <si>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</si>
  <si>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</si>
  <si>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</si>
  <si>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</si>
  <si>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</si>
  <si>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</si>
  <si>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</si>
  <si>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</si>
  <si>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</si>
  <si>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</si>
  <si>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</si>
  <si>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</si>
  <si>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</si>
  <si>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</si>
  <si>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</si>
  <si>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</si>
  <si>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</si>
  <si>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</si>
  <si>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</si>
  <si>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</si>
  <si>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</si>
  <si>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</si>
  <si>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</si>
  <si>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</si>
  <si>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</si>
  <si>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</si>
  <si>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</si>
  <si>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</si>
  <si>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</si>
  <si>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</si>
  <si>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</si>
  <si>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</si>
  <si>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</si>
  <si>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</si>
  <si>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</si>
  <si>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</si>
  <si>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</si>
  <si>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</si>
  <si>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</si>
  <si>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</si>
  <si>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</si>
  <si>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</si>
  <si>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</si>
  <si>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</si>
  <si>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</si>
  <si>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</si>
  <si>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</si>
  <si>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</si>
  <si>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</si>
  <si>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</si>
  <si>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</si>
  <si>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</si>
  <si>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</si>
  <si>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</si>
  <si>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</si>
  <si>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</si>
  <si>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</si>
  <si>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</si>
  <si>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</si>
  <si>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</si>
  <si>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</si>
  <si>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</si>
  <si>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</si>
  <si>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</si>
  <si>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</si>
  <si>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</si>
  <si>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</si>
  <si>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</si>
  <si>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</si>
  <si>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</si>
  <si>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</si>
  <si>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</si>
  <si>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</si>
  <si>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</si>
  <si>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</si>
  <si>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</si>
  <si>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</si>
  <si>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</si>
  <si>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</si>
  <si>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</si>
  <si>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</si>
  <si>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</si>
  <si>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</si>
  <si>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</si>
  <si>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</si>
  <si>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</si>
  <si>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</si>
  <si>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</si>
  <si>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</si>
  <si>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</si>
  <si>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</si>
  <si>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</si>
  <si>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</si>
  <si>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</si>
  <si>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</si>
  <si>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</si>
  <si>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</si>
  <si>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</si>
  <si>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</si>
  <si>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</si>
  <si>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</si>
  <si>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</si>
  <si>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</si>
  <si>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</si>
  <si>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</si>
  <si>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</si>
  <si>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</si>
  <si>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</si>
  <si>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</si>
  <si>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</si>
  <si>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</si>
  <si>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</si>
  <si>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</si>
  <si>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</si>
  <si>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</si>
  <si>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</si>
  <si>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</si>
  <si>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</si>
  <si>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</si>
  <si>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</si>
  <si>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</si>
  <si>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</si>
  <si>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</si>
  <si>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</si>
  <si>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</si>
  <si>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</si>
  <si>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</si>
  <si>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</si>
  <si>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</si>
  <si>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</si>
  <si>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</si>
  <si>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</si>
  <si>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</si>
  <si>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</si>
  <si>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</si>
  <si>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</si>
  <si>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</si>
  <si>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</si>
  <si>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</si>
  <si>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</si>
  <si>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</si>
  <si>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</si>
  <si>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</si>
  <si>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</si>
  <si>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</si>
  <si>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</si>
  <si>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</si>
  <si>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</si>
  <si>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</si>
  <si>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</si>
  <si>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</si>
  <si>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</si>
  <si>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</si>
  <si>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</si>
  <si>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</si>
  <si>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</si>
  <si>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</si>
  <si>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</si>
  <si>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</si>
  <si>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</si>
  <si>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</si>
  <si>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</si>
  <si>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</si>
  <si>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</si>
  <si>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</si>
  <si>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</si>
  <si>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</si>
  <si>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</si>
  <si>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</si>
  <si>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</si>
  <si>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</si>
  <si>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</si>
  <si>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</si>
  <si>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</si>
  <si>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</si>
  <si>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</si>
  <si>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</si>
  <si>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</si>
  <si>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</si>
  <si>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</si>
  <si>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</si>
  <si>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</si>
  <si>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</si>
  <si>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</si>
  <si>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</si>
  <si>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</si>
  <si>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</si>
  <si>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</si>
  <si>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</si>
  <si>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</si>
  <si>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</si>
  <si>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</si>
  <si>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</si>
  <si>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</si>
  <si>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</si>
  <si>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</si>
  <si>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</si>
  <si>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</si>
  <si>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</si>
  <si>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</si>
  <si>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</si>
  <si>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</si>
  <si>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</si>
  <si>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</si>
  <si>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</si>
  <si>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</si>
  <si>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</si>
  <si>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</si>
  <si>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</si>
  <si>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</si>
  <si>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</si>
  <si>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</si>
  <si>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</si>
  <si>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</si>
  <si>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</si>
  <si>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</si>
  <si>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</si>
  <si>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</si>
  <si>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</si>
  <si>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</si>
  <si>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</si>
  <si>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</si>
  <si>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</si>
  <si>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</si>
  <si>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</si>
  <si>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</si>
  <si>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</si>
  <si>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</si>
  <si>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</si>
  <si>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</si>
  <si>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</si>
  <si>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</si>
  <si>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</si>
  <si>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</si>
  <si>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</si>
  <si>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</si>
  <si>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</si>
  <si>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</si>
  <si>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</si>
  <si>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</si>
  <si>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</si>
  <si>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</si>
  <si>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</si>
  <si>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</si>
  <si>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</si>
  <si>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</si>
  <si>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</si>
  <si>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</si>
  <si>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</si>
  <si>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</si>
  <si>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</si>
  <si>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</si>
  <si>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</si>
  <si>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</si>
  <si>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</si>
  <si>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</si>
  <si>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</si>
  <si>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</si>
  <si>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</si>
  <si>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</si>
  <si>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</si>
  <si>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</si>
  <si>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</si>
  <si>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</si>
  <si>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</si>
  <si>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</si>
  <si>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</si>
  <si>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</si>
  <si>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</si>
  <si>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</si>
  <si>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</si>
  <si>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</si>
  <si>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</si>
  <si>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</si>
  <si>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</si>
  <si>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</si>
  <si>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</si>
  <si>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</si>
  <si>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</si>
  <si>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</si>
  <si>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</si>
  <si>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</si>
  <si>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</si>
  <si>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</si>
  <si>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</si>
  <si>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</si>
  <si>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</si>
  <si>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</si>
  <si>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</si>
  <si>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</si>
  <si>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</si>
  <si>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</si>
  <si>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</si>
  <si>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</si>
  <si>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</si>
  <si>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</si>
  <si>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</si>
  <si>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</si>
  <si>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</si>
  <si>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</si>
  <si>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</si>
  <si>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</si>
  <si>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</si>
  <si>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</si>
  <si>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</si>
  <si>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</si>
  <si>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</si>
  <si>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</si>
  <si>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</si>
  <si>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</si>
  <si>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</si>
  <si>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</si>
  <si>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</si>
  <si>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</si>
  <si>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</si>
  <si>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</si>
  <si>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</si>
  <si>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</si>
  <si>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</si>
  <si>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</si>
  <si>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</si>
  <si>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</si>
  <si>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</si>
  <si>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</si>
  <si>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</si>
  <si>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</si>
  <si>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</si>
  <si>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</si>
  <si>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</si>
  <si>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</si>
  <si>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</si>
  <si>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</si>
  <si>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</si>
  <si>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</si>
  <si>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</si>
  <si>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</si>
  <si>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</si>
  <si>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</si>
  <si>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</si>
  <si>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</si>
  <si>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</si>
  <si>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</si>
  <si>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</si>
  <si>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</si>
  <si>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</si>
  <si>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</si>
  <si>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</si>
  <si>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</si>
  <si>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</si>
  <si>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</si>
  <si>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</si>
  <si>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</si>
  <si>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</si>
  <si>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</si>
  <si>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</si>
  <si>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</si>
  <si>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</si>
  <si>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</si>
  <si>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</si>
  <si>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</si>
  <si>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</si>
  <si>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</si>
  <si>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</si>
  <si>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</si>
  <si>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</si>
  <si>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</si>
  <si>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</si>
  <si>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</si>
  <si>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</si>
  <si>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</si>
  <si>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</si>
  <si>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</si>
  <si>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</si>
  <si>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</si>
  <si>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</si>
  <si>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</si>
  <si>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</si>
  <si>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</si>
  <si>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</si>
  <si>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</si>
  <si>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</si>
  <si>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</si>
  <si>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</si>
  <si>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</si>
  <si>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</si>
  <si>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</si>
  <si>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</si>
  <si>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</si>
  <si>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</si>
  <si>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</si>
  <si>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</si>
  <si>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</si>
  <si>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</si>
  <si>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</si>
  <si>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</si>
  <si>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</si>
  <si>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</si>
  <si>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</si>
  <si>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</si>
  <si>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</si>
  <si>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</si>
  <si>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</si>
  <si>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</si>
  <si>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</si>
  <si>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</si>
  <si>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</si>
  <si>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</si>
  <si>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</si>
  <si>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</si>
  <si>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</si>
  <si>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</si>
  <si>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</si>
  <si>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</si>
  <si>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</si>
  <si>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</si>
  <si>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</si>
  <si>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</si>
  <si>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</si>
  <si>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</si>
  <si>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</si>
  <si>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</si>
  <si>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</si>
  <si>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</si>
  <si>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</si>
  <si>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</si>
  <si>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</si>
  <si>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</si>
  <si>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</si>
  <si>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</si>
  <si>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</si>
  <si>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</si>
  <si>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</si>
  <si>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</si>
  <si>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</si>
  <si>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</si>
  <si>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</si>
  <si>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</si>
  <si>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</si>
  <si>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</si>
  <si>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</si>
  <si>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</si>
  <si>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</si>
  <si>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</si>
  <si>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</si>
  <si>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</si>
  <si>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</si>
  <si>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</si>
  <si>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</si>
  <si>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</si>
  <si>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</si>
  <si>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</si>
  <si>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</si>
  <si>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</si>
  <si>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</si>
  <si>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</si>
  <si>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</si>
  <si>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</si>
  <si>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</si>
  <si>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</si>
  <si>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</si>
  <si>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</si>
  <si>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</si>
  <si>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</si>
  <si>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</si>
  <si>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</si>
  <si>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</si>
  <si>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</si>
  <si>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</si>
  <si>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</si>
  <si>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</si>
  <si>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</si>
  <si>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</si>
  <si>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</si>
  <si>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</si>
  <si>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</si>
  <si>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</si>
  <si>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</si>
  <si>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</si>
  <si>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</si>
  <si>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</si>
  <si>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</si>
  <si>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</si>
  <si>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</si>
  <si>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</si>
  <si>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</si>
  <si>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</si>
  <si>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</si>
  <si>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</si>
  <si>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</si>
  <si>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</si>
  <si>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</si>
  <si>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</si>
  <si>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</si>
  <si>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</si>
  <si>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</si>
  <si>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</si>
  <si>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</si>
  <si>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</si>
  <si>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</si>
  <si>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</si>
  <si>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</si>
  <si>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</si>
  <si>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</si>
  <si>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</si>
  <si>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</si>
  <si>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</si>
  <si>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</si>
  <si>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</si>
  <si>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</si>
  <si>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</si>
  <si>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</si>
  <si>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</si>
  <si>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</si>
  <si>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</si>
  <si>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</si>
  <si>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</si>
  <si>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</si>
  <si>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</si>
  <si>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</si>
  <si>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</si>
  <si>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</si>
  <si>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</si>
  <si>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</si>
  <si>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</si>
  <si>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</si>
  <si>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</si>
  <si>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</si>
  <si>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</si>
  <si>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</si>
  <si>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</si>
  <si>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</si>
  <si>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</si>
  <si>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</si>
  <si>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</si>
  <si>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</si>
  <si>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</si>
  <si>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</si>
  <si>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</si>
  <si>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</si>
  <si>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</si>
  <si>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</si>
  <si>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</si>
  <si>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</si>
  <si>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</si>
  <si>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</si>
  <si>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</si>
  <si>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</si>
  <si>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</si>
  <si>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</si>
  <si>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</si>
  <si>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</si>
  <si>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</si>
  <si>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</si>
  <si>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</si>
  <si>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</si>
  <si>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</si>
  <si>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</si>
  <si>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</si>
  <si>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</si>
  <si>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</si>
  <si>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</si>
  <si>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</si>
  <si>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</si>
  <si>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</si>
  <si>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</si>
  <si>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</si>
  <si>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</si>
  <si>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</si>
  <si>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</si>
  <si>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</si>
  <si>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</si>
  <si>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</si>
  <si>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</si>
  <si>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</si>
  <si>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</si>
  <si>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</si>
  <si>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</si>
  <si>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</si>
  <si>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</si>
  <si>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</si>
  <si>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</si>
  <si>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</si>
  <si>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</si>
  <si>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</si>
  <si>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</si>
  <si>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</si>
  <si>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</si>
  <si>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</si>
  <si>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</si>
  <si>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</si>
  <si>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</si>
  <si>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</si>
  <si>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</si>
  <si>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</si>
  <si>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</si>
  <si>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</si>
  <si>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</si>
  <si>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</si>
  <si>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</si>
  <si>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</si>
  <si>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</si>
  <si>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</si>
  <si>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</si>
  <si>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</si>
  <si>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</si>
  <si>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</si>
  <si>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</si>
  <si>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</si>
  <si>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</si>
  <si>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</si>
  <si>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</si>
  <si>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</si>
  <si>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</si>
  <si>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</si>
  <si>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</si>
  <si>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</si>
  <si>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</si>
  <si>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</si>
  <si>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</si>
  <si>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</si>
  <si>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</si>
  <si>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</si>
  <si>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</si>
  <si>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</si>
  <si>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</si>
  <si>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</si>
  <si>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</si>
  <si>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</si>
  <si>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</si>
  <si>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</si>
  <si>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</si>
  <si>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</si>
  <si>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</si>
  <si>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</si>
  <si>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</si>
  <si>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</si>
  <si>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</si>
  <si>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</si>
  <si>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</si>
  <si>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</si>
  <si>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</si>
  <si>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</si>
  <si>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</si>
  <si>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</si>
  <si>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</si>
  <si>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</si>
  <si>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</si>
  <si>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</si>
  <si>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</si>
  <si>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</si>
  <si>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</si>
  <si>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</si>
  <si>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</si>
  <si>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</si>
  <si>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</si>
  <si>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</si>
  <si>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</si>
  <si>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</si>
  <si>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</si>
  <si>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</si>
  <si>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</si>
  <si>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</si>
  <si>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</si>
  <si>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</si>
  <si>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</si>
  <si>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</si>
  <si>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</si>
  <si>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</si>
  <si>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</si>
  <si>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</si>
  <si>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</si>
  <si>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</si>
  <si>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</si>
  <si>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</si>
  <si>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</si>
  <si>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</si>
  <si>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</si>
  <si>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</si>
  <si>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</si>
  <si>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</si>
  <si>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</si>
  <si>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</si>
  <si>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</si>
  <si>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</si>
  <si>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</si>
  <si>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</si>
  <si>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</si>
  <si>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</si>
  <si>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</si>
  <si>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</si>
  <si>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</si>
  <si>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</si>
  <si>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</si>
  <si>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</si>
  <si>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</si>
  <si>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</si>
  <si>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</si>
  <si>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</si>
  <si>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</si>
  <si>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</si>
  <si>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</si>
  <si>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</si>
  <si>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</si>
  <si>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</si>
  <si>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</si>
  <si>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</si>
  <si>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</si>
  <si>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</si>
  <si>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</si>
  <si>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</si>
  <si>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</si>
  <si>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</si>
  <si>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</si>
  <si>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</si>
  <si>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</si>
  <si>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</si>
  <si>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</si>
  <si>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</si>
  <si>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</si>
  <si>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</si>
  <si>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</si>
  <si>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</si>
  <si>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</si>
  <si>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</si>
  <si>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</si>
  <si>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</si>
  <si>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</si>
  <si>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</si>
  <si>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</si>
  <si>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</si>
  <si>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</si>
  <si>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</si>
  <si>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</si>
  <si>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</si>
  <si>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</si>
  <si>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</si>
  <si>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</si>
  <si>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</si>
  <si>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</si>
  <si>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</si>
  <si>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</si>
  <si>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</si>
  <si>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</si>
  <si>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</si>
  <si>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</si>
  <si>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</si>
  <si>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</si>
  <si>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</si>
  <si>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</si>
  <si>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</si>
  <si>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</si>
  <si>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</si>
  <si>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</si>
  <si>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</si>
  <si>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</si>
  <si>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</si>
  <si>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</si>
  <si>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</si>
  <si>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</si>
  <si>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</si>
  <si>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</si>
  <si>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</si>
  <si>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</si>
  <si>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</si>
  <si>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</si>
  <si>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</si>
  <si>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</si>
  <si>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</si>
  <si>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</si>
  <si>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</si>
  <si>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</si>
  <si>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</si>
  <si>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</si>
  <si>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</si>
  <si>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</si>
  <si>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</si>
  <si>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</si>
  <si>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</si>
  <si>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</si>
  <si>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</si>
  <si>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</si>
  <si>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</si>
  <si>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</si>
  <si>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</si>
  <si>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</si>
  <si>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</si>
  <si>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</si>
  <si>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</si>
  <si>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</si>
  <si>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</si>
  <si>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</si>
  <si>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</si>
  <si>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</si>
  <si>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</si>
  <si>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</si>
  <si>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</si>
  <si>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</si>
  <si>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</si>
  <si>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</si>
  <si>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</si>
  <si>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</si>
  <si>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</si>
  <si>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</si>
  <si>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</si>
  <si>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</si>
  <si>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</si>
  <si>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</si>
  <si>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</si>
  <si>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</si>
  <si>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</si>
  <si>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</si>
  <si>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</si>
  <si>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</si>
  <si>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</si>
  <si>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</si>
  <si>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</si>
  <si>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</si>
  <si>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</si>
  <si>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</si>
  <si>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</si>
  <si>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</si>
  <si>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</si>
  <si>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</si>
  <si>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</si>
  <si>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</si>
  <si>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</si>
  <si>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</si>
  <si>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</si>
  <si>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</si>
  <si>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</si>
  <si>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</si>
  <si>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</si>
  <si>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</si>
  <si>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</si>
  <si>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</si>
  <si>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</si>
  <si>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</si>
  <si>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</si>
  <si>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</si>
  <si>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</si>
  <si>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</si>
  <si>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</si>
  <si>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</si>
  <si>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</si>
  <si>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</si>
  <si>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</si>
  <si>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</si>
  <si>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</si>
  <si>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</si>
  <si>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</si>
  <si>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</si>
  <si>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</si>
  <si>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</si>
  <si>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</si>
  <si>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</si>
  <si>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</si>
  <si>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</si>
  <si>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</si>
  <si>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</si>
  <si>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</si>
  <si>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</si>
  <si>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</si>
  <si>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</si>
  <si>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</si>
  <si>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</si>
  <si>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</si>
  <si>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</si>
  <si>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</si>
  <si>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</si>
  <si>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</si>
  <si>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</si>
  <si>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</si>
  <si>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</si>
  <si>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</si>
  <si>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</si>
  <si>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</si>
  <si>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</si>
  <si>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</si>
  <si>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</si>
  <si>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</si>
  <si>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</si>
  <si>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</si>
  <si>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</si>
  <si>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</si>
  <si>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</si>
  <si>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</si>
  <si>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</si>
  <si>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</si>
  <si>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</si>
  <si>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</si>
  <si>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</si>
  <si>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</si>
  <si>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</si>
  <si>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</si>
  <si>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</si>
  <si>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</si>
  <si>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</si>
  <si>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</si>
  <si>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</si>
  <si>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</si>
  <si>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</si>
  <si>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</si>
  <si>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</si>
  <si>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</si>
  <si>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</si>
  <si>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</si>
  <si>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</si>
  <si>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</si>
  <si>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</si>
  <si>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</si>
  <si>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</si>
  <si>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</si>
  <si>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</si>
  <si>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</si>
  <si>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</si>
  <si>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</si>
  <si>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</si>
  <si>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</si>
  <si>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</si>
  <si>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</si>
  <si>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</si>
  <si>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</si>
  <si>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</si>
  <si>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</si>
  <si>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</si>
  <si>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</si>
  <si>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</si>
  <si>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</si>
  <si>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</si>
  <si>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</si>
  <si>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</si>
  <si>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</si>
  <si>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</si>
  <si>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</si>
  <si>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</si>
  <si>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</si>
  <si>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</si>
  <si>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</si>
  <si>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</si>
  <si>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</si>
  <si>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</si>
  <si>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</si>
  <si>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</si>
  <si>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</si>
  <si>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</si>
  <si>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</si>
  <si>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</si>
  <si>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</si>
  <si>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</si>
  <si>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</si>
  <si>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</si>
  <si>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</si>
  <si>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</si>
  <si>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</si>
  <si>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</si>
  <si>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</si>
  <si>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</si>
  <si>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</si>
  <si>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</si>
  <si>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</si>
  <si>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</si>
  <si>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</si>
  <si>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</si>
  <si>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</si>
  <si>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</si>
  <si>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</si>
  <si>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</si>
  <si>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</si>
  <si>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</si>
  <si>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</si>
  <si>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</si>
  <si>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</si>
  <si>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</si>
  <si>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</si>
  <si>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</si>
  <si>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</si>
  <si>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</si>
  <si>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</si>
  <si>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</si>
  <si>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</si>
  <si>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</si>
  <si>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</si>
  <si>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</si>
  <si>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</si>
  <si>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</si>
  <si>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</si>
  <si>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</si>
  <si>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</si>
  <si>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</si>
  <si>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</si>
  <si>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</si>
  <si>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</si>
  <si>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</si>
  <si>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</si>
  <si>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</si>
  <si>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</si>
  <si>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</si>
  <si>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</si>
  <si>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</si>
  <si>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</si>
  <si>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</si>
  <si>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</si>
  <si>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</si>
  <si>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</si>
  <si>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</si>
  <si>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</si>
  <si>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</si>
  <si>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</si>
  <si>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</si>
  <si>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</si>
  <si>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</si>
  <si>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</si>
  <si>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</si>
  <si>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</si>
  <si>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</si>
  <si>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</si>
  <si>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</si>
  <si>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</si>
  <si>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</si>
  <si>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</si>
  <si>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</si>
  <si>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</si>
  <si>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</si>
  <si>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</si>
  <si>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</si>
  <si>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</si>
  <si>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</si>
  <si>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</si>
  <si>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</si>
  <si>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</si>
  <si>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</si>
  <si>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</si>
  <si>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</si>
  <si>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</si>
  <si>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</si>
  <si>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</si>
  <si>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</si>
  <si>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</si>
  <si>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</si>
  <si>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</si>
  <si>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</si>
  <si>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</si>
  <si>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</si>
  <si>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</si>
  <si>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</si>
  <si>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</si>
  <si>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</si>
  <si>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</si>
  <si>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</si>
  <si>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</si>
  <si>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</si>
  <si>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</si>
  <si>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</si>
  <si>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</si>
  <si>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</si>
  <si>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</si>
  <si>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</si>
  <si>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</si>
  <si>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</si>
  <si>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</si>
  <si>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</si>
  <si>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</si>
  <si>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</si>
  <si>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</si>
  <si>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</si>
  <si>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</si>
  <si>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</si>
  <si>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</si>
  <si>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</si>
  <si>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</si>
  <si>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</si>
  <si>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</si>
  <si>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</si>
  <si>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</si>
  <si>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</si>
  <si>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</si>
  <si>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</si>
  <si>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</si>
  <si>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</si>
  <si>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</si>
  <si>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</si>
  <si>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</si>
  <si>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</si>
  <si>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</si>
  <si>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</si>
  <si>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</si>
  <si>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</si>
  <si>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</si>
  <si>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</si>
  <si>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</si>
  <si>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</si>
  <si>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</si>
  <si>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</si>
  <si>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</si>
  <si>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</si>
  <si>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</si>
  <si>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</si>
  <si>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</si>
  <si>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</si>
  <si>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</si>
  <si>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</si>
  <si>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</si>
  <si>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</si>
  <si>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</si>
  <si>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</si>
  <si>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</si>
  <si>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</si>
  <si>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</si>
  <si>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</si>
  <si>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</si>
  <si>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</si>
  <si>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</si>
  <si>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</si>
  <si>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</si>
  <si>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</si>
  <si>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</si>
  <si>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</si>
  <si>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</si>
  <si>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</si>
  <si>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</si>
  <si>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</si>
  <si>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</si>
  <si>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</si>
  <si>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</si>
  <si>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</si>
  <si>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</si>
  <si>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</si>
  <si>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</si>
  <si>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</si>
  <si>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</si>
  <si>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</si>
  <si>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</si>
  <si>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</si>
  <si>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</si>
  <si>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</si>
  <si>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</si>
  <si>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</si>
  <si>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</si>
  <si>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</si>
  <si>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</si>
  <si>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</si>
  <si>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</si>
  <si>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</si>
  <si>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</si>
  <si>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</si>
  <si>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</si>
  <si>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</si>
  <si>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</si>
  <si>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</si>
  <si>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</si>
  <si>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</si>
  <si>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</si>
  <si>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</si>
  <si>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</si>
  <si>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</si>
  <si>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</si>
  <si>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</si>
  <si>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</si>
  <si>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</si>
  <si>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</si>
  <si>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</si>
  <si>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</si>
  <si>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</si>
  <si>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</si>
  <si>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</si>
  <si>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</si>
  <si>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</si>
  <si>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</si>
  <si>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</si>
  <si>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</si>
  <si>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</si>
  <si>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</si>
  <si>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</si>
  <si>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</si>
  <si>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</si>
  <si>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</si>
  <si>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</si>
  <si>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</si>
  <si>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</si>
  <si>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</si>
  <si>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</si>
  <si>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</si>
  <si>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</si>
  <si>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</si>
  <si>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</si>
  <si>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</si>
  <si>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</si>
  <si>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</si>
  <si>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</si>
  <si>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</si>
  <si>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</si>
  <si>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</si>
  <si>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</si>
  <si>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</si>
  <si>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</si>
  <si>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</si>
  <si>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</si>
  <si>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</si>
  <si>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</si>
  <si>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</si>
  <si>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</si>
  <si>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</si>
  <si>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</si>
  <si>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</si>
  <si>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</si>
  <si>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</si>
  <si>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</si>
  <si>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</si>
  <si>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</si>
  <si>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</si>
  <si>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</si>
  <si>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</si>
  <si>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</si>
  <si>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</si>
  <si>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</si>
  <si>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</si>
  <si>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</si>
  <si>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</si>
  <si>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</si>
  <si>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</si>
  <si>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</si>
  <si>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</si>
  <si>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</si>
  <si>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</si>
  <si>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</si>
  <si>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</si>
  <si>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</si>
  <si>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</si>
  <si>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</si>
  <si>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</si>
  <si>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</si>
  <si>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</si>
  <si>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</si>
  <si>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</si>
  <si>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</si>
  <si>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</si>
  <si>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</si>
  <si>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</si>
  <si>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</si>
  <si>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</si>
  <si>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</si>
  <si>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</si>
  <si>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</si>
  <si>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</si>
  <si>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</si>
  <si>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</si>
  <si>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</si>
  <si>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</si>
  <si>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</si>
  <si>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</si>
  <si>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</si>
  <si>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</si>
  <si>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</si>
  <si>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</si>
  <si>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</si>
  <si>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</si>
  <si>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</si>
  <si>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</si>
  <si>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</si>
  <si>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</si>
  <si>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</si>
  <si>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</si>
  <si>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</si>
  <si>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</si>
  <si>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</si>
  <si>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</si>
  <si>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</si>
  <si>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</si>
  <si>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</si>
  <si>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</si>
  <si>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</si>
  <si>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</si>
  <si>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</si>
  <si>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</si>
  <si>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</si>
  <si>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</si>
  <si>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</si>
  <si>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</si>
  <si>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</si>
  <si>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</si>
  <si>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</si>
  <si>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</si>
  <si>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</si>
  <si>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</si>
  <si>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</si>
  <si>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</si>
  <si>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</si>
  <si>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</si>
  <si>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</si>
  <si>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</si>
  <si>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</si>
  <si>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</si>
  <si>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</si>
  <si>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</si>
  <si>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</si>
  <si>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</si>
  <si>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</si>
  <si>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</si>
  <si>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</si>
  <si>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</si>
  <si>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</si>
  <si>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</si>
  <si>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</si>
  <si>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</si>
  <si>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</si>
  <si>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</si>
  <si>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</si>
  <si>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</si>
  <si>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</si>
  <si>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</si>
  <si>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</si>
  <si>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</si>
  <si>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</si>
  <si>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</si>
  <si>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</si>
  <si>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</si>
  <si>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</si>
  <si>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</si>
  <si>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</si>
  <si>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</si>
  <si>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</si>
  <si>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</si>
  <si>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</si>
  <si>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</si>
  <si>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</si>
  <si>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</si>
  <si>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</si>
  <si>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</si>
  <si>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</si>
  <si>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</si>
  <si>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</si>
  <si>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</si>
  <si>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</si>
  <si>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</si>
  <si>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</si>
  <si>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</si>
  <si>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</si>
  <si>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</si>
  <si>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</si>
  <si>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</si>
  <si>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</si>
  <si>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</si>
  <si>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</si>
  <si>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</si>
  <si>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</si>
  <si>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</si>
  <si>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</si>
  <si>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</si>
  <si>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</si>
  <si>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</si>
  <si>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</si>
  <si>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</si>
  <si>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</si>
  <si>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</si>
  <si>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</si>
  <si>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</si>
  <si>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</si>
  <si>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</si>
  <si>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</si>
  <si>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</si>
  <si>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</si>
  <si>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</si>
  <si>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</si>
  <si>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</si>
  <si>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</si>
  <si>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</si>
  <si>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</si>
  <si>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</si>
  <si>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</si>
  <si>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</si>
  <si>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</si>
  <si>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</si>
  <si>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</si>
  <si>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</si>
  <si>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</si>
  <si>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</si>
  <si>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</si>
  <si>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</si>
  <si>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</si>
  <si>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</si>
  <si>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</si>
  <si>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</si>
  <si>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</si>
  <si>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</si>
  <si>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</si>
  <si>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</si>
  <si>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</si>
  <si>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</si>
  <si>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</si>
  <si>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</si>
  <si>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</si>
  <si>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</si>
  <si>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</si>
  <si>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</si>
  <si>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</si>
  <si>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</si>
  <si>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</si>
  <si>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</si>
  <si>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</si>
  <si>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</si>
  <si>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</si>
  <si>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</si>
  <si>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</si>
  <si>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</si>
  <si>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</si>
  <si>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</si>
  <si>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</si>
  <si>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</si>
  <si>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</si>
  <si>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</si>
  <si>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</si>
  <si>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</si>
  <si>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</si>
  <si>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</si>
  <si>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</si>
  <si>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</si>
  <si>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</si>
  <si>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</si>
  <si>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</si>
  <si>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</si>
  <si>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</si>
  <si>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</si>
  <si>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</si>
  <si>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</si>
  <si>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</si>
  <si>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</si>
  <si>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</si>
  <si>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</si>
  <si>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</si>
  <si>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</si>
  <si>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</si>
  <si>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</si>
  <si>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</si>
  <si>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</si>
  <si>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</si>
  <si>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</si>
  <si>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</si>
  <si>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</si>
  <si>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</si>
  <si>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</si>
  <si>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</si>
  <si>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</si>
  <si>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</si>
  <si>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</si>
  <si>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</si>
  <si>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</si>
  <si>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</si>
  <si>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</si>
  <si>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</si>
  <si>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</si>
  <si>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</si>
  <si>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</si>
  <si>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</si>
  <si>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</si>
  <si>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</si>
  <si>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</si>
  <si>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</si>
  <si>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</si>
  <si>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</si>
  <si>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</si>
  <si>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</si>
  <si>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</si>
  <si>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</si>
  <si>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</si>
  <si>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</si>
  <si>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</si>
  <si>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</si>
  <si>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</si>
  <si>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</si>
  <si>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</si>
  <si>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</si>
  <si>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</si>
  <si>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</si>
  <si>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</si>
  <si>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</si>
  <si>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</si>
  <si>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</si>
  <si>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</si>
  <si>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</si>
  <si>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</si>
  <si>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</si>
  <si>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</si>
  <si>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</si>
  <si>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</si>
  <si>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</si>
  <si>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</si>
  <si>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</si>
  <si>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</si>
  <si>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</si>
  <si>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</si>
  <si>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</si>
  <si>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</si>
  <si>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</si>
  <si>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</si>
  <si>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</si>
  <si>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</si>
  <si>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</si>
  <si>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</si>
  <si>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</si>
  <si>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</si>
  <si>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</si>
  <si>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</si>
  <si>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</si>
  <si>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</si>
  <si>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</si>
  <si>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</si>
  <si>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</si>
  <si>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</si>
  <si>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</si>
  <si>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</si>
  <si>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</si>
  <si>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</si>
  <si>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</si>
  <si>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</si>
  <si>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</si>
  <si>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</si>
  <si>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</si>
  <si>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</si>
  <si>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</si>
  <si>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</si>
  <si>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</si>
  <si>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</si>
  <si>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</si>
  <si>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</si>
  <si>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</si>
  <si>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</si>
  <si>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</si>
  <si>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</si>
  <si>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</si>
  <si>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</si>
  <si>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</si>
  <si>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</si>
  <si>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</si>
  <si>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</si>
  <si>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</si>
  <si>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</si>
  <si>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</si>
  <si>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</si>
  <si>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</si>
  <si>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</si>
  <si>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</si>
  <si>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</si>
  <si>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</si>
  <si>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</si>
  <si>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</si>
  <si>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</si>
  <si>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</si>
  <si>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</si>
  <si>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</si>
  <si>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</si>
  <si>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</si>
  <si>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</si>
  <si>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</si>
  <si>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</si>
  <si>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</si>
  <si>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</si>
  <si>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</si>
  <si>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</si>
  <si>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</si>
  <si>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</si>
  <si>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</si>
  <si>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</si>
  <si>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</si>
  <si>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</si>
  <si>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</si>
  <si>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</si>
  <si>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</si>
  <si>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</si>
  <si>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</si>
  <si>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</si>
  <si>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</si>
  <si>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</si>
  <si>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</si>
  <si>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</si>
  <si>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</si>
  <si>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</si>
  <si>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</si>
  <si>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</si>
  <si>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</si>
  <si>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</si>
  <si>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</si>
  <si>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</si>
  <si>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</si>
  <si>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</si>
  <si>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</si>
  <si>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</si>
  <si>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</si>
  <si>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</si>
  <si>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</si>
  <si>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</si>
  <si>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</si>
  <si>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</si>
  <si>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</si>
  <si>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</si>
  <si>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</si>
  <si>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</si>
  <si>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</si>
  <si>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</si>
  <si>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</si>
  <si>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</si>
  <si>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</si>
  <si>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</si>
  <si>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</si>
  <si>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</si>
  <si>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</si>
  <si>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</si>
  <si>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</si>
  <si>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</si>
  <si>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</si>
  <si>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</si>
  <si>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</si>
  <si>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</si>
  <si>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</si>
  <si>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</si>
  <si>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</si>
  <si>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</si>
  <si>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</si>
  <si>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</si>
  <si>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</si>
  <si>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</si>
  <si>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</si>
  <si>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</si>
  <si>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</si>
  <si>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</si>
  <si>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</si>
  <si>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</si>
  <si>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</si>
  <si>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</si>
  <si>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</si>
  <si>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</si>
  <si>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</si>
  <si>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</si>
  <si>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</si>
  <si>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</si>
  <si>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</si>
  <si>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</si>
  <si>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</si>
  <si>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</si>
  <si>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</si>
  <si>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</si>
  <si>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</si>
  <si>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</si>
  <si>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</si>
  <si>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</si>
  <si>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</si>
  <si>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</si>
  <si>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</si>
  <si>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</si>
  <si>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</si>
  <si>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</si>
  <si>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</si>
  <si>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</si>
  <si>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</si>
  <si>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</si>
  <si>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</si>
  <si>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</si>
  <si>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</si>
  <si>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</si>
  <si>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</si>
  <si>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</si>
  <si>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</si>
  <si>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</si>
  <si>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</si>
  <si>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</si>
  <si>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</si>
  <si>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</si>
  <si>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</si>
  <si>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</si>
  <si>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</si>
  <si>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</si>
  <si>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</si>
  <si>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</si>
  <si>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</si>
  <si>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</si>
  <si>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</si>
  <si>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</si>
  <si>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</si>
  <si>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</si>
  <si>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</si>
  <si>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</si>
  <si>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</si>
  <si>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</si>
  <si>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</si>
  <si>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</si>
  <si>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</si>
  <si>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</si>
  <si>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</si>
  <si>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</si>
  <si>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</si>
  <si>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</si>
  <si>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</si>
  <si>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</si>
  <si>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</si>
  <si>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</si>
  <si>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</si>
  <si>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</si>
  <si>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</si>
  <si>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</si>
  <si>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</si>
  <si>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</si>
  <si>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</si>
  <si>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</si>
  <si>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</si>
  <si>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</si>
  <si>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</si>
  <si>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</si>
  <si>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</si>
  <si>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</si>
  <si>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</si>
  <si>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</si>
  <si>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</si>
  <si>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</si>
  <si>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</si>
  <si>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</si>
  <si>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</si>
  <si>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</si>
  <si>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</si>
  <si>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</si>
  <si>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</si>
  <si>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</si>
  <si>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</si>
  <si>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</si>
  <si>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</si>
  <si>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</si>
  <si>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</si>
  <si>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</si>
  <si>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</si>
  <si>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</si>
  <si>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</si>
  <si>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</si>
  <si>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</si>
  <si>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</si>
  <si>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</si>
  <si>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</si>
  <si>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</si>
  <si>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</si>
  <si>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</si>
  <si>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</si>
  <si>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</si>
  <si>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</si>
  <si>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</si>
  <si>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</si>
  <si>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</si>
  <si>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</si>
  <si>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</si>
  <si>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</si>
  <si>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</si>
  <si>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</si>
  <si>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</si>
  <si>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</si>
  <si>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</si>
  <si>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</si>
  <si>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</si>
  <si>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</si>
  <si>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</si>
  <si>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</si>
  <si>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</si>
  <si>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</si>
  <si>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</si>
  <si>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</si>
  <si>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</si>
  <si>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</si>
  <si>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</si>
  <si>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</si>
  <si>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</si>
  <si>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</si>
  <si>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</si>
  <si>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</si>
  <si>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</si>
  <si>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</si>
  <si>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</si>
  <si>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</si>
  <si>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</si>
  <si>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</si>
  <si>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</si>
  <si>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</si>
  <si>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</si>
  <si>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</si>
  <si>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</si>
  <si>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</si>
  <si>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</si>
  <si>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</si>
  <si>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</si>
  <si>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</si>
  <si>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</si>
  <si>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</si>
  <si>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</si>
  <si>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</si>
  <si>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</si>
  <si>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</si>
  <si>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</si>
  <si>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</si>
  <si>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</si>
  <si>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</si>
  <si>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</si>
  <si>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</si>
  <si>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</si>
  <si>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</si>
  <si>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</si>
  <si>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</si>
  <si>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</si>
  <si>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</si>
  <si>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</si>
  <si>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</si>
  <si>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</si>
  <si>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</si>
  <si>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</si>
  <si>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</si>
  <si>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</si>
  <si>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</si>
  <si>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</si>
  <si>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</si>
  <si>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</si>
  <si>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</si>
  <si>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</si>
  <si>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</si>
  <si>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</si>
  <si>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</si>
  <si>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</si>
  <si>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</si>
  <si>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</si>
  <si>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</si>
  <si>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</si>
  <si>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</si>
  <si>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</si>
  <si>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</si>
  <si>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</si>
  <si>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</si>
  <si>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</si>
  <si>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</si>
  <si>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</si>
  <si>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</si>
  <si>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</si>
  <si>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</si>
  <si>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</si>
  <si>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</si>
  <si>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</si>
  <si>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</si>
  <si>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</si>
  <si>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</si>
  <si>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</si>
  <si>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</si>
  <si>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</si>
  <si>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</si>
  <si>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</si>
  <si>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</si>
  <si>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</si>
  <si>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</si>
  <si>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</si>
  <si>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</si>
  <si>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</si>
  <si>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</si>
  <si>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</si>
  <si>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</si>
  <si>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</si>
  <si>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</si>
  <si>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</si>
  <si>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</si>
  <si>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</si>
  <si>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</si>
  <si>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</si>
  <si>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</si>
  <si>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</si>
  <si>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</si>
  <si>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</si>
  <si>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</si>
  <si>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</si>
  <si>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</si>
  <si>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</si>
  <si>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</si>
  <si>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</si>
  <si>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</si>
  <si>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</si>
  <si>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</si>
  <si>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</si>
  <si>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</si>
  <si>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</si>
  <si>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</si>
  <si>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</si>
  <si>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</si>
  <si>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</si>
  <si>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</si>
  <si>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</si>
  <si>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</si>
  <si>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</si>
  <si>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</si>
  <si>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</si>
  <si>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</si>
  <si>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</si>
  <si>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</si>
  <si>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</si>
  <si>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</si>
  <si>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</si>
  <si>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</si>
  <si>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</si>
  <si>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</si>
  <si>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</si>
  <si>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</si>
  <si>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</si>
  <si>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</si>
  <si>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</si>
  <si>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</si>
  <si>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</si>
  <si>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</si>
  <si>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</si>
  <si>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</si>
  <si>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</si>
  <si>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</si>
  <si>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</si>
  <si>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</si>
  <si>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</si>
  <si>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</si>
  <si>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</si>
  <si>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</si>
  <si>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</si>
  <si>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</si>
  <si>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</si>
  <si>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</si>
  <si>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</si>
  <si>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</si>
  <si>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</si>
  <si>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</si>
  <si>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</si>
  <si>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</si>
  <si>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</si>
  <si>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</si>
  <si>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</si>
  <si>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</si>
  <si>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</si>
  <si>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</si>
  <si>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</si>
  <si>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</si>
  <si>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</si>
  <si>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</si>
  <si>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</si>
  <si>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</si>
  <si>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</si>
  <si>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</si>
  <si>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</si>
  <si>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</si>
  <si>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</si>
  <si>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</si>
  <si>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</si>
  <si>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</si>
  <si>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</si>
  <si>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</si>
  <si>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</si>
  <si>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</si>
  <si>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</si>
  <si>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</si>
  <si>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</si>
  <si>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</si>
  <si>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</si>
  <si>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</si>
  <si>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</si>
  <si>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</si>
  <si>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</si>
  <si>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</si>
  <si>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</si>
  <si>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</si>
  <si>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</si>
  <si>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</si>
  <si>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</si>
  <si>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</si>
  <si>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</si>
  <si>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</si>
  <si>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</si>
  <si>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</si>
  <si>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</si>
  <si>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</si>
  <si>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</si>
  <si>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</si>
  <si>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</si>
  <si>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</si>
  <si>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</si>
  <si>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</si>
  <si>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</si>
  <si>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</si>
  <si>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</si>
  <si>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</si>
  <si>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</si>
  <si>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</si>
  <si>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</si>
  <si>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</si>
  <si>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</si>
  <si>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</si>
  <si>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</si>
  <si>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</si>
  <si>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</si>
  <si>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</si>
  <si>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</si>
  <si>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</si>
  <si>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</si>
  <si>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</si>
  <si>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</si>
  <si>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</si>
  <si>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</si>
  <si>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</si>
  <si>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</si>
  <si>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</si>
  <si>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</si>
  <si>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</si>
  <si>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</si>
  <si>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</si>
  <si>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</si>
  <si>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</si>
  <si>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</si>
  <si>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</si>
  <si>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</si>
  <si>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</si>
  <si>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</si>
  <si>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</si>
  <si>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</si>
  <si>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</si>
  <si>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</si>
  <si>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</si>
  <si>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</si>
  <si>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</si>
  <si>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</si>
  <si>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</si>
  <si>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</si>
  <si>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</si>
  <si>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</si>
  <si>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</si>
  <si>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</si>
  <si>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</si>
  <si>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</si>
  <si>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</si>
  <si>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</si>
  <si>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</si>
  <si>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</si>
  <si>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</si>
  <si>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</si>
  <si>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</si>
  <si>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</si>
  <si>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</si>
  <si>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</si>
  <si>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</si>
  <si>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</si>
  <si>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</si>
  <si>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</si>
  <si>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</si>
  <si>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</si>
  <si>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</si>
  <si>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</si>
  <si>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</si>
  <si>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</si>
  <si>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</si>
  <si>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</si>
  <si>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</si>
  <si>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</si>
  <si>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</si>
  <si>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</si>
  <si>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</si>
  <si>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</si>
  <si>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</si>
  <si>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</si>
  <si>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</si>
  <si>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</si>
  <si>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</si>
  <si>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</si>
  <si>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</si>
  <si>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</si>
  <si>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</si>
  <si>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</si>
  <si>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</si>
  <si>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</si>
  <si>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</si>
  <si>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</si>
  <si>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</si>
  <si>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</si>
  <si>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</si>
  <si>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</si>
  <si>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</si>
  <si>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</si>
  <si>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</si>
  <si>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</si>
  <si>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</si>
  <si>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</si>
  <si>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</si>
  <si>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</si>
  <si>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</si>
  <si>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</si>
  <si>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</si>
  <si>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</si>
  <si>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</si>
  <si>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</si>
  <si>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</si>
  <si>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</si>
  <si>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</si>
  <si>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</si>
  <si>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</si>
  <si>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</si>
  <si>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</si>
  <si>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</si>
  <si>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</si>
  <si>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</si>
  <si>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</si>
  <si>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</si>
  <si>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</si>
  <si>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</si>
  <si>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</si>
  <si>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</si>
  <si>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</si>
  <si>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</si>
  <si>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</si>
  <si>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</si>
  <si>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</si>
  <si>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</si>
  <si>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</si>
  <si>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</si>
  <si>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</si>
  <si>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</si>
  <si>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</si>
  <si>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</si>
  <si>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</si>
  <si>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</si>
  <si>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</si>
  <si>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</si>
  <si>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</si>
  <si>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</si>
  <si>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</si>
  <si>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</si>
  <si>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</si>
  <si>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</si>
  <si>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</si>
  <si>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</si>
  <si>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</si>
  <si>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</si>
  <si>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</si>
  <si>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</si>
  <si>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</si>
  <si>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</si>
  <si>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</si>
  <si>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</si>
  <si>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</si>
  <si>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</si>
  <si>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</si>
  <si>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</si>
  <si>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</si>
  <si>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</si>
  <si>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</si>
  <si>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</si>
  <si>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</si>
  <si>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</si>
  <si>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</si>
  <si>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</si>
  <si>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</si>
  <si>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</si>
  <si>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</si>
  <si>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</si>
  <si>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</si>
  <si>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</si>
  <si>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</si>
  <si>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</si>
  <si>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</si>
  <si>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</si>
  <si>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</si>
  <si>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</si>
  <si>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</si>
  <si>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</si>
  <si>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</si>
  <si>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</si>
  <si>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</si>
  <si>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</si>
  <si>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</si>
  <si>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</si>
  <si>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</si>
  <si>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</si>
  <si>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</si>
  <si>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</si>
  <si>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</si>
  <si>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</si>
  <si>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</si>
  <si>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</si>
  <si>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</si>
  <si>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</si>
  <si>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</si>
  <si>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</si>
  <si>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</si>
  <si>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</si>
  <si>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</si>
  <si>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</si>
  <si>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</si>
  <si>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</si>
  <si>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</si>
  <si>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</si>
  <si>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</si>
  <si>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</si>
  <si>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</si>
  <si>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</si>
  <si>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</si>
  <si>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</si>
  <si>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</si>
  <si>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</si>
  <si>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</si>
  <si>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</si>
  <si>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</si>
  <si>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</si>
  <si>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</si>
  <si>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</si>
  <si>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</si>
  <si>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</si>
  <si>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</si>
  <si>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</si>
  <si>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</si>
  <si>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</si>
  <si>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</si>
  <si>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</si>
  <si>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</si>
  <si>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</si>
  <si>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</si>
  <si>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</si>
  <si>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</si>
  <si>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</si>
  <si>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</si>
  <si>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</si>
  <si>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</si>
  <si>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</si>
  <si>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</si>
  <si>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</si>
  <si>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</si>
  <si>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</si>
  <si>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</si>
  <si>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</si>
  <si>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</si>
  <si>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</si>
  <si>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</si>
  <si>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</si>
  <si>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</si>
  <si>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</si>
  <si>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</si>
  <si>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</si>
  <si>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</si>
  <si>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</si>
  <si>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</si>
  <si>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</si>
  <si>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</si>
  <si>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</si>
  <si>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</si>
  <si>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</si>
  <si>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</si>
  <si>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</si>
  <si>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</si>
  <si>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</si>
  <si>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</si>
  <si>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</si>
  <si>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</si>
  <si>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</si>
  <si>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</si>
  <si>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</si>
  <si>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</si>
  <si>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</si>
  <si>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</si>
  <si>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</si>
  <si>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</si>
  <si>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</si>
  <si>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</si>
  <si>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</si>
  <si>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</si>
  <si>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</si>
  <si>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</si>
  <si>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</si>
  <si>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</si>
  <si>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</si>
  <si>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</si>
  <si>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</si>
  <si>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</si>
  <si>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</si>
  <si>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</si>
  <si>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</si>
  <si>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</si>
  <si>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</si>
  <si>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</si>
  <si>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</si>
  <si>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</si>
  <si>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</si>
  <si>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</si>
  <si>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</si>
  <si>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</si>
  <si>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</si>
  <si>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</si>
  <si>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</si>
  <si>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</si>
  <si>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</si>
  <si>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</si>
  <si>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</si>
  <si>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</si>
  <si>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</si>
  <si>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</si>
  <si>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</si>
  <si>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</si>
  <si>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</si>
  <si>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</si>
  <si>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</si>
  <si>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</si>
  <si>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</si>
  <si>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</si>
  <si>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</si>
  <si>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</si>
  <si>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</si>
  <si>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</si>
  <si>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</si>
  <si>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</si>
  <si>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</si>
  <si>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</si>
  <si>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</si>
  <si>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</si>
  <si>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</si>
  <si>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</si>
  <si>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</si>
  <si>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</si>
  <si>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</si>
  <si>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</si>
  <si>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</si>
  <si>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</si>
  <si>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</si>
  <si>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</si>
  <si>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</si>
  <si>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</si>
  <si>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</si>
  <si>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</si>
  <si>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</si>
  <si>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</si>
  <si>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</si>
  <si>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</si>
  <si>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</si>
  <si>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</si>
  <si>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</si>
  <si>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</si>
  <si>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</si>
  <si>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</si>
  <si>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</si>
  <si>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</si>
  <si>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</si>
  <si>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</si>
  <si>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</si>
  <si>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</si>
  <si>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</si>
  <si>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</si>
  <si>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</si>
  <si>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</si>
  <si>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</si>
  <si>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</si>
  <si>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</si>
  <si>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</si>
  <si>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</si>
  <si>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</si>
  <si>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</si>
  <si>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</si>
  <si>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</si>
  <si>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</si>
  <si>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</si>
  <si>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</si>
  <si>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</si>
  <si>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</si>
  <si>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</si>
  <si>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</si>
  <si>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</si>
  <si>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</si>
  <si>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</si>
  <si>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</si>
  <si>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</si>
  <si>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</si>
  <si>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</si>
  <si>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</si>
  <si>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</si>
  <si>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</si>
  <si>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</si>
  <si>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</si>
  <si>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</si>
  <si>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</si>
  <si>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</si>
  <si>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</si>
  <si>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</si>
  <si>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</si>
  <si>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</si>
  <si>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</si>
  <si>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</si>
  <si>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</si>
  <si>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</si>
  <si>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</si>
  <si>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</si>
  <si>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</si>
  <si>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</si>
  <si>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</si>
  <si>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</si>
  <si>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</si>
  <si>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</si>
  <si>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</si>
  <si>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</si>
  <si>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</si>
  <si>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</si>
  <si>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</si>
  <si>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</si>
  <si>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</si>
  <si>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</si>
  <si>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</si>
  <si>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</si>
  <si>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</si>
  <si>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</si>
  <si>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</si>
  <si>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</si>
  <si>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</si>
  <si>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</si>
  <si>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</si>
  <si>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</si>
  <si>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</si>
  <si>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</si>
  <si>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</si>
  <si>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</si>
  <si>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</si>
  <si>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</si>
  <si>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</si>
  <si>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</si>
  <si>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</si>
  <si>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</si>
  <si>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</si>
  <si>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</si>
  <si>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</si>
  <si>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</si>
  <si>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</si>
  <si>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</si>
  <si>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</si>
  <si>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</si>
  <si>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</si>
  <si>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</si>
  <si>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</si>
  <si>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</si>
  <si>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</si>
  <si>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</si>
  <si>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</si>
  <si>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</si>
  <si>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</si>
  <si>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</si>
  <si>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</si>
  <si>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</si>
  <si>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</si>
  <si>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</si>
  <si>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</si>
  <si>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</si>
  <si>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</si>
  <si>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</si>
  <si>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</si>
  <si>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</si>
  <si>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</si>
  <si>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</si>
  <si>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</si>
  <si>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</si>
  <si>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</si>
  <si>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</si>
  <si>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</si>
  <si>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</si>
  <si>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</si>
  <si>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</si>
  <si>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</si>
  <si>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</si>
  <si>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</si>
  <si>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</si>
  <si>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</si>
  <si>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</si>
  <si>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</si>
  <si>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</si>
  <si>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</si>
  <si>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</si>
  <si>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</si>
  <si>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</si>
  <si>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</si>
  <si>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</si>
  <si>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</si>
  <si>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</si>
  <si>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</si>
  <si>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</si>
  <si>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</si>
  <si>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</si>
  <si>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</si>
  <si>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</si>
  <si>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</si>
  <si>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</si>
  <si>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</si>
  <si>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</si>
  <si>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</si>
  <si>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</si>
  <si>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</si>
  <si>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</si>
  <si>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</si>
  <si>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</si>
  <si>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</si>
  <si>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</si>
  <si>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</si>
  <si>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</si>
  <si>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</si>
  <si>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</si>
  <si>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</si>
  <si>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</si>
  <si>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</si>
  <si>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</si>
  <si>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</si>
  <si>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</si>
  <si>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</si>
  <si>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</si>
  <si>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</si>
  <si>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</si>
  <si>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</si>
  <si>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</si>
  <si>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</si>
  <si>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</si>
  <si>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</si>
  <si>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</si>
  <si>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</si>
  <si>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</si>
  <si>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</si>
  <si>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</si>
  <si>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</si>
  <si>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</si>
  <si>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</si>
  <si>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</si>
  <si>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</si>
  <si>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</si>
  <si>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</si>
  <si>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</si>
  <si>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</si>
  <si>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</si>
  <si>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</si>
  <si>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</si>
  <si>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</si>
  <si>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</si>
  <si>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</si>
  <si>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</si>
  <si>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</si>
  <si>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</si>
  <si>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</si>
  <si>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</si>
  <si>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</si>
  <si>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</si>
  <si>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</si>
  <si>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</si>
  <si>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</si>
  <si>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</si>
  <si>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</si>
  <si>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</si>
  <si>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</si>
  <si>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</si>
  <si>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</si>
  <si>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</si>
  <si>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</si>
  <si>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</si>
  <si>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</si>
  <si>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</si>
  <si>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</si>
  <si>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</si>
  <si>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</si>
  <si>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</si>
  <si>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</si>
  <si>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</si>
  <si>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</si>
  <si>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</si>
  <si>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</si>
  <si>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</si>
  <si>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</si>
  <si>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</si>
  <si>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</si>
  <si>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</si>
  <si>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</si>
  <si>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</si>
  <si>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</si>
  <si>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</si>
  <si>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</si>
  <si>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</si>
  <si>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</si>
  <si>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</si>
  <si>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</si>
  <si>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</si>
  <si>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</si>
  <si>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</si>
  <si>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</si>
  <si>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</si>
  <si>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</si>
  <si>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</si>
  <si>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</si>
  <si>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</si>
  <si>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</si>
  <si>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</si>
  <si>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</si>
  <si>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</si>
  <si>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</si>
  <si>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</si>
  <si>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</si>
  <si>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</si>
  <si>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</si>
  <si>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</si>
  <si>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</si>
  <si>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</si>
  <si>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</si>
  <si>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</si>
  <si>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</si>
  <si>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</si>
  <si>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</si>
  <si>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</si>
  <si>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</si>
  <si>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</si>
  <si>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</si>
  <si>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</si>
  <si>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</si>
  <si>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</si>
  <si>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</si>
  <si>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</si>
  <si>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</si>
  <si>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</si>
  <si>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</si>
  <si>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</si>
  <si>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</si>
  <si>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</si>
  <si>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</si>
  <si>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</si>
  <si>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</si>
  <si>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</si>
  <si>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</si>
  <si>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</si>
  <si>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</si>
  <si>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</si>
  <si>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</si>
  <si>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</si>
  <si>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</si>
  <si>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</si>
  <si>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</si>
  <si>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</si>
  <si>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</si>
  <si>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</si>
  <si>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</si>
  <si>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</si>
  <si>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</si>
  <si>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</si>
  <si>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</si>
  <si>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</si>
  <si>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</si>
  <si>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</si>
  <si>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</si>
  <si>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</si>
  <si>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</si>
  <si>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</si>
  <si>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</si>
  <si>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</si>
  <si>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</si>
  <si>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</si>
  <si>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</si>
  <si>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</si>
  <si>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</si>
  <si>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</si>
  <si>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</si>
  <si>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</si>
  <si>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</si>
  <si>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</si>
  <si>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</si>
  <si>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</si>
  <si>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</si>
  <si>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</si>
  <si>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</si>
  <si>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</si>
  <si>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</si>
  <si>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</si>
  <si>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</si>
  <si>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</si>
  <si>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</si>
  <si>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</si>
  <si>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</si>
  <si>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</si>
  <si>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</si>
  <si>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</si>
  <si>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</si>
  <si>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</si>
  <si>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</si>
  <si>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</si>
  <si>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</si>
  <si>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</si>
  <si>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</si>
  <si>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</si>
  <si>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</si>
  <si>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</si>
  <si>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</si>
  <si>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</si>
  <si>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</si>
  <si>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</si>
  <si>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</si>
  <si>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</si>
  <si>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</si>
  <si>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</si>
  <si>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</si>
  <si>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</si>
  <si>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</si>
  <si>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</si>
  <si>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</si>
  <si>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</si>
  <si>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</si>
  <si>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</si>
  <si>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</si>
  <si>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</si>
  <si>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</si>
  <si>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</si>
  <si>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</si>
  <si>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</si>
  <si>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</si>
  <si>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</si>
  <si>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</si>
  <si>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</si>
  <si>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</si>
  <si>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</si>
  <si>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</si>
  <si>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</si>
  <si>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</si>
  <si>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</si>
  <si>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</si>
  <si>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</si>
  <si>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</si>
  <si>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</si>
  <si>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</si>
  <si>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</si>
  <si>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</si>
  <si>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</si>
  <si>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</si>
  <si>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</si>
  <si>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</si>
  <si>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</si>
  <si>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</si>
  <si>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</si>
  <si>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</si>
  <si>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</si>
  <si>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</si>
  <si>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</si>
  <si>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</si>
  <si>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</si>
  <si>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</si>
  <si>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</si>
  <si>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</si>
  <si>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</si>
  <si>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</si>
  <si>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</si>
  <si>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</si>
  <si>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</si>
  <si>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</si>
  <si>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</si>
  <si>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</si>
  <si>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</si>
  <si>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</si>
  <si>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</si>
  <si>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</si>
  <si>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</si>
  <si>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</si>
  <si>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</si>
  <si>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</si>
  <si>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</si>
  <si>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</si>
  <si>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</si>
  <si>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</si>
  <si>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</si>
  <si>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</si>
  <si>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</si>
  <si>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</si>
  <si>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</si>
  <si>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</si>
  <si>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</si>
  <si>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</si>
  <si>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</si>
  <si>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</si>
  <si>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</si>
  <si>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</si>
  <si>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</si>
  <si>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</si>
  <si>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</si>
  <si>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</si>
  <si>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</si>
  <si>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</si>
  <si>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</si>
  <si>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</si>
  <si>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</si>
  <si>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</si>
  <si>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</si>
  <si>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</si>
  <si>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</si>
  <si>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</si>
  <si>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</si>
  <si>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</si>
  <si>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</si>
  <si>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</si>
  <si>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</si>
  <si>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</si>
  <si>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</si>
  <si>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</si>
  <si>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</si>
  <si>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</si>
  <si>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</si>
  <si>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</si>
  <si>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</si>
  <si>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</si>
  <si>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</si>
  <si>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</si>
  <si>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</si>
  <si>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</si>
  <si>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</si>
  <si>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</si>
  <si>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</si>
  <si>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</si>
  <si>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</si>
  <si>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</si>
  <si>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</si>
  <si>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</si>
  <si>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</si>
  <si>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</si>
  <si>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</si>
  <si>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</si>
  <si>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</si>
  <si>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</si>
  <si>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</si>
  <si>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</si>
  <si>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</si>
  <si>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</si>
  <si>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</si>
  <si>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</si>
  <si>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</si>
  <si>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</si>
  <si>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</si>
  <si>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</si>
  <si>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</si>
  <si>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</si>
  <si>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</si>
  <si>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</si>
  <si>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</si>
  <si>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</si>
  <si>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</si>
  <si>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</si>
  <si>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</si>
  <si>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</si>
  <si>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</si>
  <si>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</si>
  <si>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</si>
  <si>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</si>
  <si>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</si>
  <si>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</si>
  <si>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</si>
  <si>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</si>
  <si>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</si>
  <si>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</si>
  <si>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</si>
  <si>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</si>
  <si>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</si>
  <si>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</si>
  <si>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</si>
  <si>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</si>
  <si>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</si>
  <si>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</si>
  <si>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</si>
  <si>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</si>
  <si>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</si>
  <si>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</si>
  <si>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</si>
  <si>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</si>
  <si>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</si>
  <si>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</si>
  <si>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</si>
  <si>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</si>
  <si>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</si>
  <si>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</si>
  <si>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</si>
  <si>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</si>
  <si>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</si>
  <si>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</si>
  <si>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</si>
  <si>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</si>
  <si>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</si>
  <si>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</si>
  <si>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</si>
  <si>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</si>
  <si>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</si>
  <si>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</si>
  <si>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</si>
  <si>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</si>
  <si>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</si>
  <si>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</si>
  <si>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</si>
  <si>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</si>
  <si>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</si>
  <si>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</si>
  <si>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</si>
  <si>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</si>
  <si>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</si>
  <si>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</si>
  <si>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</si>
  <si>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</si>
  <si>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</si>
  <si>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</si>
  <si>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</si>
  <si>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</si>
  <si>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</si>
  <si>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</si>
  <si>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</si>
  <si>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</si>
  <si>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</si>
  <si>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</si>
  <si>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</si>
  <si>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</si>
  <si>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</si>
  <si>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</si>
  <si>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</si>
  <si>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</si>
  <si>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</si>
  <si>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</si>
  <si>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</si>
  <si>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</si>
  <si>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</si>
  <si>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</si>
  <si>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</si>
  <si>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</si>
  <si>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</si>
  <si>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</si>
  <si>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</si>
  <si>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</si>
  <si>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</si>
  <si>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</si>
  <si>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</si>
  <si>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</si>
  <si>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</si>
  <si>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</si>
  <si>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</si>
  <si>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</si>
  <si>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</si>
  <si>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</si>
  <si>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</si>
  <si>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</si>
  <si>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</si>
  <si>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</si>
  <si>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</si>
  <si>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</si>
  <si>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</si>
  <si>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</si>
  <si>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</si>
  <si>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</si>
  <si>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</si>
  <si>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</si>
  <si>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</si>
  <si>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</si>
  <si>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</si>
  <si>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</si>
  <si>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</si>
  <si>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</si>
  <si>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</si>
  <si>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</si>
  <si>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</si>
  <si>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</si>
  <si>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</si>
  <si>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</si>
  <si>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</si>
  <si>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</si>
  <si>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</si>
  <si>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</si>
  <si>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</si>
  <si>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</si>
  <si>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</si>
  <si>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</si>
  <si>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</si>
  <si>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</si>
  <si>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</si>
  <si>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</si>
  <si>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</si>
  <si>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</si>
  <si>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</si>
  <si>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</si>
  <si>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</si>
  <si>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</si>
  <si>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</si>
  <si>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</si>
  <si>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</si>
  <si>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</si>
  <si>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</si>
  <si>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</si>
  <si>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</si>
  <si>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</si>
  <si>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</si>
  <si>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</si>
  <si>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</si>
  <si>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</si>
  <si>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</si>
  <si>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</si>
  <si>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</si>
  <si>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</si>
  <si>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</si>
  <si>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</si>
  <si>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</si>
  <si>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</si>
  <si>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</si>
  <si>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</si>
  <si>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</si>
  <si>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</si>
  <si>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</si>
  <si>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</si>
  <si>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</si>
  <si>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</si>
  <si>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</si>
  <si>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</si>
  <si>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</si>
  <si>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</si>
  <si>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</si>
  <si>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</si>
  <si>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</si>
  <si>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</si>
  <si>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</si>
  <si>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</si>
  <si>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</si>
  <si>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</si>
  <si>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</si>
  <si>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</si>
  <si>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</si>
  <si>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</si>
  <si>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</si>
  <si>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</si>
  <si>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</si>
  <si>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</si>
  <si>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</si>
  <si>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</si>
  <si>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</si>
  <si>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</si>
  <si>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</si>
  <si>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</si>
  <si>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</si>
  <si>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</si>
  <si>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</si>
  <si>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</si>
  <si>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</si>
  <si>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</si>
  <si>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</si>
  <si>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</si>
  <si>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</si>
  <si>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</si>
  <si>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</si>
  <si>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</si>
  <si>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</si>
  <si>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</si>
  <si>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</si>
  <si>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</si>
  <si>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</si>
  <si>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</si>
  <si>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</si>
  <si>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</si>
  <si>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</si>
  <si>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</si>
  <si>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</si>
  <si>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</si>
  <si>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</si>
  <si>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</si>
  <si>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</si>
  <si>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</si>
  <si>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</si>
  <si>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</si>
  <si>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</si>
  <si>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</si>
  <si>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</si>
  <si>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</si>
  <si>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</si>
  <si>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</si>
  <si>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</si>
  <si>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</si>
  <si>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</si>
  <si>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</si>
  <si>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</si>
  <si>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</si>
  <si>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</si>
  <si>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</si>
  <si>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</si>
  <si>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</si>
  <si>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</si>
  <si>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</si>
  <si>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</si>
  <si>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</si>
  <si>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</si>
  <si>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</si>
  <si>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</si>
  <si>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</si>
  <si>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</si>
  <si>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</si>
  <si>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</si>
  <si>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</si>
  <si>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</si>
  <si>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</si>
  <si>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</si>
  <si>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</si>
  <si>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</si>
  <si>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</si>
  <si>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</si>
  <si>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</si>
  <si>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</si>
  <si>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</si>
  <si>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</si>
  <si>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</si>
  <si>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</si>
  <si>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</si>
  <si>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</si>
  <si>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</si>
  <si>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</si>
  <si>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</si>
  <si>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</si>
  <si>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</si>
  <si>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</si>
  <si>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</si>
  <si>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</si>
  <si>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</si>
  <si>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</si>
  <si>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</si>
  <si>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</si>
  <si>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</si>
  <si>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</si>
  <si>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</si>
  <si>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</si>
  <si>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</si>
  <si>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</si>
  <si>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</si>
  <si>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</si>
  <si>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</si>
  <si>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</si>
  <si>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</si>
  <si>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</si>
  <si>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</si>
  <si>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</si>
  <si>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</si>
  <si>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</si>
  <si>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</si>
  <si>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</si>
  <si>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</si>
  <si>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</si>
  <si>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</si>
  <si>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</si>
  <si>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</si>
  <si>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</si>
  <si>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</si>
  <si>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</si>
  <si>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</si>
  <si>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</si>
  <si>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</si>
  <si>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</si>
  <si>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</si>
  <si>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</si>
  <si>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</si>
  <si>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</si>
  <si>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</si>
  <si>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</si>
  <si>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</si>
  <si>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</si>
  <si>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</si>
  <si>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</si>
  <si>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</si>
  <si>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</si>
  <si>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</si>
  <si>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</si>
  <si>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</si>
  <si>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</si>
  <si>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</si>
  <si>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</si>
  <si>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</si>
  <si>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</si>
  <si>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</si>
  <si>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</si>
  <si>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</si>
  <si>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</si>
  <si>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</si>
  <si>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</si>
  <si>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</si>
  <si>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</si>
  <si>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</si>
  <si>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</si>
  <si>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</si>
  <si>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</si>
  <si>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</si>
  <si>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</si>
  <si>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</si>
  <si>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</si>
  <si>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</si>
  <si>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</si>
  <si>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</si>
  <si>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</si>
  <si>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</si>
  <si>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</si>
  <si>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</si>
  <si>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</si>
  <si>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</si>
  <si>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</si>
  <si>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</si>
  <si>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</si>
  <si>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</si>
  <si>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</si>
  <si>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</si>
  <si>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</si>
  <si>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</si>
  <si>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</si>
  <si>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</si>
  <si>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</si>
  <si>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</si>
  <si>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</si>
  <si>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</si>
  <si>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</si>
  <si>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</si>
  <si>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</si>
  <si>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</si>
  <si>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</si>
  <si>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</si>
  <si>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</si>
  <si>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</si>
  <si>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</si>
  <si>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</si>
  <si>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</si>
  <si>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</si>
  <si>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</si>
  <si>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</si>
  <si>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</si>
  <si>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</si>
  <si>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</si>
  <si>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</si>
  <si>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</si>
  <si>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</si>
  <si>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</si>
  <si>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</si>
  <si>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</si>
  <si>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</si>
  <si>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</si>
  <si>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</si>
  <si>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</si>
  <si>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</si>
  <si>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</si>
  <si>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</si>
  <si>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</si>
  <si>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</si>
  <si>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</si>
  <si>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</si>
  <si>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</si>
  <si>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</si>
  <si>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</si>
  <si>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</si>
  <si>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</si>
  <si>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</si>
  <si>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</si>
  <si>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</si>
  <si>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</si>
  <si>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</si>
  <si>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</si>
  <si>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</si>
  <si>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</si>
  <si>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</si>
  <si>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</si>
  <si>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</si>
  <si>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</si>
  <si>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</si>
  <si>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</si>
  <si>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</si>
  <si>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</si>
  <si>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</si>
  <si>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</si>
  <si>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</si>
  <si>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</si>
  <si>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</si>
  <si>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</si>
  <si>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</si>
  <si>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</si>
  <si>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</si>
  <si>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</si>
  <si>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</si>
  <si>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</si>
  <si>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</si>
  <si>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</si>
  <si>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</si>
  <si>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</si>
  <si>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</si>
  <si>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</si>
  <si>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</si>
  <si>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</si>
  <si>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</si>
  <si>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</si>
  <si>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</si>
  <si>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</si>
  <si>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</si>
  <si>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</si>
  <si>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</si>
  <si>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</si>
  <si>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</si>
  <si>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</si>
  <si>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</si>
  <si>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</si>
  <si>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</si>
  <si>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</si>
  <si>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</si>
  <si>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</si>
  <si>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</si>
  <si>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</si>
  <si>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</si>
  <si>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</si>
  <si>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</si>
  <si>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</si>
  <si>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</si>
  <si>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</si>
  <si>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</si>
  <si>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</si>
  <si>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</si>
  <si>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</si>
  <si>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</si>
  <si>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</si>
  <si>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</si>
  <si>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</si>
  <si>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</si>
  <si>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</si>
  <si>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</si>
  <si>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</si>
  <si>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</si>
  <si>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</si>
  <si>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</si>
  <si>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</si>
  <si>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</si>
  <si>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</si>
  <si>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</si>
  <si>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</si>
  <si>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</si>
  <si>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</si>
  <si>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</si>
  <si>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</si>
  <si>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</si>
  <si>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</si>
  <si>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</si>
  <si>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</si>
  <si>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</si>
  <si>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</si>
  <si>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</si>
  <si>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</si>
  <si>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</si>
  <si>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</si>
  <si>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</si>
  <si>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</si>
  <si>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</si>
  <si>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</si>
  <si>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</si>
  <si>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</si>
  <si>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</si>
  <si>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</si>
  <si>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</si>
  <si>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</si>
  <si>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</si>
  <si>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</si>
  <si>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</si>
  <si>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</si>
  <si>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</si>
  <si>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</si>
  <si>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</si>
  <si>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</si>
  <si>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</si>
  <si>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</si>
  <si>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</si>
  <si>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</si>
  <si>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</si>
  <si>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</si>
  <si>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</si>
  <si>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</si>
  <si>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</si>
  <si>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</si>
  <si>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</si>
  <si>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</si>
  <si>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</si>
  <si>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</si>
  <si>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</si>
  <si>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</si>
  <si>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</si>
  <si>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</si>
  <si>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</si>
  <si>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</si>
  <si>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</si>
  <si>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</si>
  <si>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</si>
  <si>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</si>
  <si>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</si>
  <si>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</si>
  <si>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</si>
  <si>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</si>
  <si>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</si>
  <si>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</si>
  <si>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</si>
  <si>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</si>
  <si>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</si>
  <si>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</si>
  <si>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</si>
  <si>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</si>
  <si>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</si>
  <si>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</si>
  <si>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</si>
  <si>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</si>
  <si>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</si>
  <si>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</si>
  <si>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</si>
  <si>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</si>
  <si>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</si>
  <si>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</si>
  <si>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</si>
  <si>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</si>
  <si>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</si>
  <si>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</si>
  <si>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</si>
  <si>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</si>
  <si>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</si>
  <si>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</si>
  <si>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</si>
  <si>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</si>
  <si>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</si>
  <si>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</si>
  <si>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</si>
  <si>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</si>
  <si>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</si>
  <si>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</si>
  <si>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</si>
  <si>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</si>
  <si>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</si>
  <si>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</si>
  <si>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</si>
  <si>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</si>
  <si>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</si>
  <si>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</si>
  <si>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</si>
  <si>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</si>
  <si>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</si>
  <si>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</si>
  <si>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</si>
  <si>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</si>
  <si>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</si>
  <si>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</si>
  <si>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</si>
  <si>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</si>
  <si>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</si>
  <si>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</si>
  <si>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</si>
  <si>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</si>
  <si>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</si>
  <si>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</si>
  <si>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</si>
  <si>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</si>
  <si>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</si>
  <si>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</si>
  <si>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</si>
  <si>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</si>
  <si>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</si>
  <si>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</si>
  <si>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</si>
  <si>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</si>
  <si>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</si>
  <si>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</si>
  <si>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</si>
  <si>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</si>
  <si>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</si>
  <si>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</si>
  <si>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</si>
  <si>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</si>
  <si>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</si>
  <si>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</si>
  <si>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</si>
  <si>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</si>
  <si>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</si>
  <si>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</si>
  <si>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</si>
  <si>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</si>
  <si>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</si>
  <si>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</si>
  <si>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</si>
  <si>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</si>
  <si>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</si>
  <si>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</si>
  <si>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</si>
  <si>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</si>
  <si>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</si>
  <si>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</si>
  <si>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</si>
  <si>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</si>
  <si>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</si>
  <si>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</si>
  <si>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</si>
  <si>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</si>
  <si>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</si>
  <si>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</si>
  <si>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</si>
  <si>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</si>
  <si>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</si>
  <si>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</si>
  <si>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</si>
  <si>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</si>
  <si>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</si>
  <si>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</si>
  <si>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</si>
  <si>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</si>
  <si>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</si>
  <si>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</si>
  <si>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</si>
  <si>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</si>
  <si>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</si>
  <si>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</si>
  <si>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</si>
  <si>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</si>
  <si>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</si>
  <si>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</si>
  <si>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</si>
  <si>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</si>
  <si>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</si>
  <si>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</si>
  <si>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</si>
  <si>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</si>
  <si>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</si>
  <si>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</si>
  <si>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</si>
  <si>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</si>
  <si>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</si>
  <si>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</si>
  <si>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</si>
  <si>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</si>
  <si>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</si>
  <si>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</si>
  <si>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</si>
  <si>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</si>
  <si>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</si>
  <si>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</si>
  <si>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</si>
  <si>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</si>
  <si>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</si>
  <si>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</si>
  <si>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</si>
  <si>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</si>
  <si>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</si>
  <si>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</si>
  <si>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</si>
  <si>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</si>
  <si>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</si>
  <si>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</si>
  <si>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</si>
  <si>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</si>
  <si>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</si>
  <si>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</si>
  <si>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</si>
  <si>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</si>
  <si>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</si>
  <si>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</si>
  <si>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</si>
  <si>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</si>
  <si>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</si>
  <si>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</si>
  <si>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</si>
  <si>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</si>
  <si>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</si>
  <si>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</si>
  <si>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</si>
  <si>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</si>
  <si>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</si>
  <si>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</si>
  <si>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</si>
  <si>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</si>
  <si>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</si>
  <si>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</si>
  <si>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</si>
  <si>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</si>
  <si>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</si>
  <si>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</si>
  <si>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</si>
  <si>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</si>
  <si>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</si>
  <si>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</si>
  <si>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</si>
  <si>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</si>
  <si>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</si>
  <si>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</si>
  <si>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</si>
  <si>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</si>
  <si>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</si>
  <si>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</si>
  <si>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</si>
  <si>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</si>
  <si>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</si>
  <si>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</si>
  <si>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</si>
  <si>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</si>
  <si>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</si>
  <si>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</si>
  <si>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</si>
  <si>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</si>
  <si>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</si>
  <si>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</si>
  <si>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</si>
  <si>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</si>
  <si>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</si>
  <si>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</si>
  <si>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</si>
  <si>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</si>
  <si>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</si>
  <si>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</si>
  <si>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</si>
  <si>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</si>
  <si>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</si>
  <si>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</si>
  <si>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</si>
  <si>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</si>
  <si>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</si>
  <si>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</si>
  <si>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</si>
  <si>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</si>
  <si>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</si>
  <si>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</si>
  <si>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</si>
  <si>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</si>
  <si>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</si>
  <si>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</si>
  <si>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</si>
  <si>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</si>
  <si>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</si>
  <si>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</si>
  <si>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</si>
  <si>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</si>
  <si>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</si>
  <si>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</si>
  <si>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</si>
  <si>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</si>
  <si>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</si>
  <si>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</si>
  <si>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</si>
  <si>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</si>
  <si>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</si>
  <si>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</si>
  <si>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</si>
  <si>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</si>
  <si>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</si>
  <si>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</si>
  <si>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</si>
  <si>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</si>
  <si>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</si>
  <si>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</si>
  <si>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</si>
  <si>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</si>
  <si>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</si>
  <si>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</si>
  <si>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</si>
  <si>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</si>
  <si>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</si>
  <si>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</si>
  <si>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</si>
  <si>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</si>
  <si>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</si>
  <si>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</si>
  <si>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</si>
  <si>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</si>
  <si>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</si>
  <si>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</si>
  <si>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</si>
  <si>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</si>
  <si>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</si>
  <si>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</si>
  <si>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</si>
  <si>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</si>
  <si>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</si>
  <si>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</si>
  <si>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</si>
  <si>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</si>
  <si>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</si>
  <si>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</si>
  <si>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</si>
  <si>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</si>
  <si>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</si>
  <si>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</si>
  <si>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</si>
  <si>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</si>
  <si>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</si>
  <si>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</si>
  <si>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</si>
  <si>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</si>
  <si>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</si>
  <si>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</si>
  <si>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</si>
  <si>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</si>
  <si>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</si>
  <si>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</si>
  <si>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</si>
  <si>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</si>
  <si>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</si>
  <si>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</si>
  <si>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</si>
  <si>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</si>
  <si>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</si>
  <si>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</si>
  <si>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</si>
  <si>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</si>
  <si>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</si>
  <si>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</si>
  <si>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</si>
  <si>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</si>
  <si>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</si>
  <si>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</si>
  <si>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</si>
  <si>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</si>
  <si>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</si>
  <si>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</si>
  <si>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</si>
  <si>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</si>
  <si>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</si>
  <si>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</si>
  <si>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</si>
  <si>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</si>
  <si>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</si>
  <si>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</si>
  <si>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</si>
  <si>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</si>
  <si>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</si>
  <si>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</si>
  <si>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</si>
  <si>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</si>
  <si>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</si>
  <si>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</si>
  <si>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</si>
  <si>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</si>
  <si>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</si>
  <si>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</si>
  <si>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</si>
  <si>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</si>
  <si>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</si>
  <si>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</si>
  <si>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</si>
  <si>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</si>
  <si>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</si>
  <si>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</si>
  <si>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</si>
  <si>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</si>
  <si>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</si>
  <si>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</si>
  <si>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</si>
  <si>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</si>
  <si>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</si>
  <si>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</si>
  <si>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</si>
  <si>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</si>
  <si>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</si>
  <si>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</si>
  <si>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</si>
  <si>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</si>
  <si>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</si>
  <si>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</si>
  <si>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</si>
  <si>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</si>
  <si>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</si>
  <si>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</si>
  <si>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</si>
  <si>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</si>
  <si>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</si>
  <si>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</si>
  <si>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</si>
  <si>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</si>
  <si>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</si>
  <si>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</si>
  <si>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</si>
  <si>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</si>
  <si>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</si>
  <si>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</si>
  <si>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</si>
  <si>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</si>
  <si>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</si>
  <si>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</si>
  <si>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</si>
  <si>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</si>
  <si>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</si>
  <si>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</si>
  <si>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</si>
  <si>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</si>
  <si>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</si>
  <si>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</si>
  <si>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</si>
  <si>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</si>
  <si>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</si>
  <si>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</si>
  <si>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</si>
  <si>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</si>
  <si>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</si>
  <si>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</si>
  <si>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</si>
  <si>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</si>
  <si>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</si>
  <si>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</si>
  <si>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</si>
  <si>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</si>
  <si>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</si>
  <si>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</si>
  <si>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</si>
  <si>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</si>
  <si>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</si>
  <si>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</si>
  <si>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</si>
  <si>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</si>
  <si>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</si>
  <si>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</si>
  <si>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</si>
  <si>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</si>
  <si>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</si>
  <si>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</si>
  <si>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</si>
  <si>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</si>
  <si>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</si>
  <si>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</si>
  <si>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</si>
  <si>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</si>
  <si>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</si>
  <si>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</si>
  <si>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</si>
  <si>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</si>
  <si>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</si>
  <si>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</si>
  <si>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</si>
  <si>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</si>
  <si>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</si>
  <si>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</si>
  <si>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</si>
  <si>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</si>
  <si>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</si>
  <si>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</si>
  <si>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</si>
  <si>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</si>
  <si>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</si>
  <si>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</si>
  <si>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</si>
  <si>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</si>
  <si>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</si>
  <si>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</si>
  <si>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</si>
  <si>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</si>
  <si>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</si>
  <si>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</si>
  <si>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</si>
  <si>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</si>
  <si>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</si>
  <si>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</si>
  <si>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</si>
  <si>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</si>
  <si>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</si>
  <si>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</si>
  <si>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</si>
  <si>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</si>
  <si>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</si>
  <si>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</si>
  <si>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</si>
  <si>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</si>
  <si>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</si>
  <si>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</si>
  <si>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</si>
  <si>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</si>
  <si>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</si>
  <si>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</si>
  <si>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</si>
  <si>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</si>
  <si>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</si>
  <si>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</si>
  <si>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</si>
  <si>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</si>
  <si>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</si>
  <si>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</si>
  <si>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</si>
  <si>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</si>
  <si>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</si>
  <si>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</si>
  <si>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</si>
  <si>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</si>
  <si>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</si>
  <si>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</si>
  <si>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</si>
  <si>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</si>
  <si>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</si>
  <si>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</si>
  <si>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</si>
  <si>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</si>
  <si>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</si>
  <si>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</si>
  <si>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</si>
  <si>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</si>
  <si>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</si>
  <si>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</si>
  <si>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</si>
  <si>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</si>
  <si>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</si>
  <si>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</si>
  <si>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</si>
  <si>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</si>
  <si>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</si>
  <si>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</si>
  <si>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</si>
  <si>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</si>
  <si>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</si>
  <si>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</si>
  <si>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</si>
  <si>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</si>
  <si>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</si>
  <si>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</si>
  <si>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</si>
  <si>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</si>
  <si>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</si>
  <si>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</si>
  <si>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</si>
  <si>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</si>
  <si>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</si>
  <si>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</si>
  <si>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</si>
  <si>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</si>
  <si>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</si>
  <si>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</si>
  <si>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</si>
  <si>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</si>
  <si>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</si>
  <si>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</si>
  <si>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</si>
  <si>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</si>
  <si>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</si>
  <si>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</si>
  <si>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</si>
  <si>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</si>
  <si>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</si>
  <si>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</si>
  <si>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</si>
  <si>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</si>
  <si>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</si>
  <si>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</si>
  <si>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</si>
  <si>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</si>
  <si>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</si>
  <si>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</si>
  <si>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</si>
  <si>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</si>
  <si>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</si>
  <si>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</si>
  <si>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</si>
  <si>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</si>
  <si>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</si>
  <si>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</si>
  <si>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</si>
  <si>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</si>
  <si>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</si>
  <si>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</si>
  <si>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</si>
  <si>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</si>
  <si>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</si>
  <si>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</si>
  <si>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</si>
  <si>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</si>
  <si>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</si>
  <si>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</si>
  <si>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</si>
  <si>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</si>
  <si>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</si>
  <si>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</si>
  <si>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</si>
  <si>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</si>
  <si>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</si>
  <si>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</si>
  <si>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</si>
  <si>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</si>
  <si>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</si>
  <si>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</si>
  <si>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</si>
  <si>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</si>
  <si>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</si>
  <si>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</si>
  <si>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</si>
  <si>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</si>
  <si>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</si>
  <si>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</si>
  <si>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</si>
  <si>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</si>
  <si>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</si>
  <si>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</si>
  <si>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</si>
  <si>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</si>
  <si>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</si>
  <si>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</si>
  <si>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</si>
  <si>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</si>
  <si>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</si>
  <si>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</si>
  <si>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</si>
  <si>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</si>
  <si>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</si>
  <si>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</si>
  <si>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</si>
  <si>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</si>
  <si>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</si>
  <si>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</si>
  <si>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</si>
  <si>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</si>
  <si>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</si>
  <si>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</si>
  <si>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</si>
  <si>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</si>
  <si>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</si>
  <si>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</si>
  <si>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</si>
  <si>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</si>
  <si>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</si>
  <si>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</si>
  <si>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</si>
  <si>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</si>
  <si>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</si>
  <si>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</si>
  <si>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</si>
  <si>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</si>
  <si>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</si>
  <si>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</si>
  <si>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</si>
  <si>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</si>
  <si>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</si>
  <si>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</si>
  <si>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</si>
  <si>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</si>
  <si>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</si>
  <si>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</si>
  <si>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</si>
  <si>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</si>
  <si>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</si>
  <si>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</si>
  <si>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</si>
  <si>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</si>
  <si>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</si>
  <si>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</si>
  <si>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</si>
  <si>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</si>
  <si>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</si>
  <si>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</si>
  <si>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</si>
  <si>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</si>
  <si>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</si>
  <si>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</si>
  <si>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</si>
  <si>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</si>
  <si>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</si>
  <si>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</si>
  <si>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</si>
  <si>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</si>
  <si>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</si>
  <si>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</si>
  <si>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</si>
  <si>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</si>
  <si>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</si>
  <si>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</si>
  <si>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</si>
  <si>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</si>
  <si>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</si>
  <si>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</si>
  <si>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</si>
  <si>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</si>
  <si>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</si>
  <si>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</si>
  <si>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</si>
  <si>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</si>
  <si>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</si>
  <si>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</si>
  <si>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</si>
  <si>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</si>
  <si>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</si>
  <si>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</si>
  <si>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</si>
  <si>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</si>
  <si>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</si>
  <si>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</si>
  <si>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</si>
  <si>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</si>
  <si>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</si>
  <si>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</si>
  <si>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</si>
  <si>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</si>
  <si>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</si>
  <si>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</si>
  <si>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</si>
  <si>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</si>
  <si>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</si>
  <si>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</si>
  <si>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</si>
  <si>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</si>
  <si>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</si>
  <si>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</si>
  <si>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</si>
  <si>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</si>
  <si>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</si>
  <si>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</si>
  <si>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</si>
  <si>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</si>
  <si>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</si>
  <si>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</si>
  <si>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</si>
  <si>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</si>
  <si>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</si>
  <si>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</si>
  <si>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</si>
  <si>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</si>
  <si>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</si>
  <si>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</si>
  <si>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</si>
  <si>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</si>
  <si>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</si>
  <si>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</si>
  <si>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</si>
  <si>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</si>
  <si>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</si>
  <si>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</si>
  <si>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</si>
  <si>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</si>
  <si>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</si>
  <si>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</si>
  <si>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</si>
  <si>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</si>
  <si>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</si>
  <si>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</si>
  <si>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</si>
  <si>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</si>
  <si>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</si>
  <si>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</si>
  <si>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</si>
  <si>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</si>
  <si>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</si>
  <si>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</si>
  <si>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</si>
  <si>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</si>
  <si>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</si>
  <si>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</si>
  <si>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</si>
  <si>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</si>
  <si>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</si>
  <si>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</si>
  <si>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</si>
  <si>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</si>
  <si>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</si>
  <si>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</si>
  <si>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</si>
  <si>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</si>
  <si>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</si>
  <si>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</si>
  <si>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</si>
  <si>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</si>
  <si>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</si>
  <si>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</si>
  <si>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</si>
  <si>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</si>
  <si>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</si>
  <si>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</si>
  <si>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</si>
  <si>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</si>
  <si>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</si>
  <si>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</si>
  <si>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</si>
  <si>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</si>
  <si>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</si>
  <si>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</si>
  <si>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</si>
  <si>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</si>
  <si>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</si>
  <si>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</si>
  <si>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</si>
  <si>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</si>
  <si>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</si>
  <si>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</si>
  <si>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</si>
  <si>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</si>
  <si>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</si>
  <si>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</si>
  <si>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</si>
  <si>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</si>
  <si>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</si>
  <si>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</si>
  <si>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</si>
  <si>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</si>
  <si>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</si>
  <si>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</si>
  <si>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</si>
  <si>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</si>
  <si>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</si>
  <si>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</si>
  <si>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</si>
  <si>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</si>
  <si>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</si>
  <si>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</si>
  <si>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</si>
  <si>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</si>
  <si>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</si>
  <si>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</si>
  <si>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</si>
  <si>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</si>
  <si>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</si>
  <si>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</si>
  <si>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</si>
  <si>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</si>
  <si>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</si>
  <si>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</si>
  <si>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</si>
  <si>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</si>
  <si>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</si>
  <si>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</si>
  <si>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</si>
  <si>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</si>
  <si>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</si>
  <si>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</si>
  <si>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</si>
  <si>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</si>
  <si>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</si>
  <si>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</si>
  <si>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</si>
  <si>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</si>
  <si>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</si>
  <si>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</si>
  <si>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</si>
  <si>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</si>
  <si>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</si>
  <si>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</si>
  <si>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</si>
  <si>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</si>
  <si>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</si>
  <si>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</si>
  <si>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</si>
  <si>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</si>
  <si>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</si>
  <si>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</si>
  <si>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</si>
  <si>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</si>
  <si>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</si>
  <si>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</si>
  <si>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</si>
  <si>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</si>
  <si>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</si>
  <si>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</si>
  <si>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</si>
  <si>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</si>
  <si>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</si>
  <si>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</si>
  <si>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</si>
  <si>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</si>
  <si>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</si>
  <si>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</si>
  <si>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</si>
  <si>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</si>
  <si>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</si>
  <si>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</si>
  <si>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</si>
  <si>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</si>
  <si>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</si>
  <si>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</si>
  <si>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</si>
  <si>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</si>
  <si>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</si>
  <si>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</si>
  <si>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</si>
  <si>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</si>
  <si>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</si>
  <si>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</si>
  <si>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</si>
  <si>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</si>
  <si>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</si>
  <si>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</si>
  <si>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</si>
  <si>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</si>
  <si>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</si>
  <si>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</si>
  <si>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</si>
  <si>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</si>
  <si>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</si>
  <si>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</si>
  <si>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</si>
  <si>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</si>
  <si>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</si>
  <si>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</si>
  <si>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</si>
  <si>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</si>
  <si>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</si>
  <si>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</si>
  <si>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</si>
  <si>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</si>
  <si>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</si>
  <si>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</si>
  <si>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</si>
  <si>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</si>
  <si>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</si>
  <si>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</si>
  <si>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</si>
  <si>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</si>
  <si>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</si>
  <si>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</si>
  <si>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</si>
  <si>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</si>
  <si>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</si>
  <si>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</si>
  <si>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</si>
  <si>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</si>
  <si>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</si>
  <si>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</si>
  <si>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</si>
  <si>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</si>
  <si>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</si>
  <si>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</si>
  <si>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</si>
  <si>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</si>
  <si>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</si>
  <si>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</si>
  <si>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</si>
  <si>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</si>
  <si>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</si>
  <si>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</si>
  <si>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</si>
  <si>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</si>
  <si>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</si>
  <si>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</si>
  <si>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</si>
  <si>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</si>
  <si>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</si>
  <si>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</si>
  <si>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</si>
  <si>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</si>
  <si>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</si>
  <si>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</si>
  <si>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</si>
  <si>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</si>
  <si>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</si>
  <si>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</si>
  <si>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</si>
  <si>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</si>
  <si>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</si>
  <si>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</si>
  <si>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</si>
  <si>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</si>
  <si>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</si>
  <si>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</si>
  <si>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</si>
  <si>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</si>
  <si>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</si>
  <si>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</si>
  <si>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</si>
  <si>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</si>
  <si>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</si>
  <si>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</si>
  <si>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</si>
  <si>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</si>
  <si>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</si>
  <si>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</si>
  <si>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</si>
  <si>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</si>
  <si>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</si>
  <si>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</si>
  <si>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</si>
  <si>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</si>
  <si>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</si>
  <si>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</si>
  <si>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</si>
  <si>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</si>
  <si>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</si>
  <si>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</si>
  <si>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</si>
  <si>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</si>
  <si>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</si>
  <si>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</si>
  <si>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</si>
  <si>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</si>
  <si>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</si>
  <si>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</si>
  <si>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</si>
  <si>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</si>
  <si>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</si>
  <si>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</si>
  <si>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</si>
  <si>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</si>
  <si>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</si>
  <si>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</si>
  <si>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</si>
  <si>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</si>
  <si>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</si>
  <si>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</si>
  <si>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</si>
  <si>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</si>
  <si>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</si>
  <si>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</si>
  <si>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</si>
  <si>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</si>
  <si>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</si>
  <si>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</si>
  <si>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</si>
  <si>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</si>
  <si>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</si>
  <si>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</si>
  <si>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</si>
  <si>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</si>
  <si>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</si>
  <si>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</si>
  <si>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</si>
  <si>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</si>
  <si>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</si>
  <si>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</si>
  <si>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</si>
  <si>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</si>
  <si>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</si>
  <si>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</si>
  <si>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</si>
  <si>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</si>
  <si>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</si>
  <si>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</si>
  <si>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</si>
  <si>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</si>
  <si>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</si>
  <si>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</si>
  <si>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</si>
  <si>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</si>
  <si>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</si>
  <si>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</si>
  <si>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</si>
  <si>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</si>
  <si>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</si>
  <si>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</si>
  <si>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</si>
  <si>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</si>
  <si>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</si>
  <si>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</si>
  <si>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</si>
  <si>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</si>
  <si>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</si>
  <si>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</si>
  <si>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</si>
  <si>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</si>
  <si>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</si>
  <si>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</si>
  <si>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</si>
  <si>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</si>
  <si>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</si>
  <si>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</si>
  <si>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</si>
  <si>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</si>
  <si>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</si>
  <si>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</si>
  <si>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</si>
  <si>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</si>
  <si>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</si>
  <si>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</si>
  <si>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</si>
  <si>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</si>
  <si>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</si>
  <si>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</si>
  <si>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</si>
  <si>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</si>
  <si>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</si>
  <si>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</si>
  <si>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</si>
  <si>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</si>
  <si>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</si>
  <si>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</si>
  <si>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</si>
  <si>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</si>
  <si>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</si>
  <si>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</si>
  <si>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</si>
  <si>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</si>
  <si>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</si>
  <si>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</si>
  <si>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</si>
  <si>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</si>
  <si>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</si>
  <si>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</si>
  <si>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</si>
  <si>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</si>
  <si>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</si>
  <si>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</si>
  <si>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</si>
  <si>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</si>
  <si>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</si>
  <si>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</si>
  <si>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</si>
  <si>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</si>
  <si>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</si>
  <si>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</si>
  <si>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</si>
  <si>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</si>
  <si>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</si>
  <si>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</si>
  <si>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</si>
  <si>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</si>
  <si>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</si>
  <si>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</si>
  <si>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</si>
  <si>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</si>
  <si>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</si>
  <si>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</si>
  <si>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</si>
  <si>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</si>
  <si>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</si>
  <si>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</si>
  <si>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</si>
  <si>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</si>
  <si>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</si>
  <si>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</si>
  <si>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</si>
  <si>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</si>
  <si>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</si>
  <si>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</si>
  <si>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</si>
  <si>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</si>
  <si>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</si>
  <si>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</si>
  <si>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</si>
  <si>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</si>
  <si>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</si>
  <si>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</si>
  <si>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</si>
  <si>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</si>
  <si>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</si>
  <si>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</si>
  <si>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</si>
  <si>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</si>
  <si>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</si>
  <si>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</si>
  <si>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</si>
  <si>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</si>
  <si>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</si>
  <si>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</si>
  <si>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</si>
  <si>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</si>
  <si>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</si>
  <si>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</si>
  <si>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</si>
  <si>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</si>
  <si>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</si>
  <si>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</si>
  <si>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</si>
  <si>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</si>
  <si>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</si>
  <si>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</si>
  <si>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</si>
  <si>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</si>
  <si>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</si>
  <si>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</si>
  <si>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</si>
  <si>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</si>
  <si>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</si>
  <si>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</si>
  <si>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</si>
  <si>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</si>
  <si>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</si>
  <si>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</si>
  <si>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</si>
  <si>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</si>
  <si>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</si>
  <si>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</si>
  <si>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</si>
  <si>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</si>
  <si>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</si>
  <si>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</si>
  <si>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</si>
  <si>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</si>
  <si>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</si>
  <si>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</si>
  <si>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</si>
  <si>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</si>
  <si>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</si>
  <si>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</si>
  <si>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</si>
  <si>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</si>
  <si>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</si>
  <si>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</si>
  <si>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</si>
  <si>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</si>
  <si>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</si>
  <si>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</si>
  <si>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</si>
  <si>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</si>
  <si>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</si>
  <si>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</si>
  <si>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</si>
  <si>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</si>
  <si>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</si>
  <si>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</si>
  <si>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</si>
  <si>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</si>
  <si>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</si>
  <si>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</si>
  <si>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</si>
  <si>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</si>
  <si>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</si>
  <si>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</si>
  <si>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</si>
  <si>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</si>
  <si>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</si>
  <si>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</si>
  <si>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</si>
  <si>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</si>
  <si>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</si>
  <si>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</si>
  <si>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</si>
  <si>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</si>
  <si>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</si>
  <si>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</si>
  <si>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</si>
  <si>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</si>
  <si>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</si>
  <si>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</si>
  <si>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</si>
  <si>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</si>
  <si>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</si>
  <si>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</si>
  <si>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</si>
  <si>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</si>
  <si>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</si>
  <si>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</si>
  <si>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</si>
  <si>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</si>
  <si>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</si>
  <si>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</si>
  <si>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</si>
  <si>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</si>
  <si>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</si>
  <si>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</si>
  <si>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</si>
  <si>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</si>
  <si>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</si>
  <si>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</si>
  <si>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</si>
  <si>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</si>
  <si>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</si>
  <si>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</si>
  <si>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</si>
  <si>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</si>
  <si>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</si>
  <si>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</si>
  <si>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</si>
  <si>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</si>
  <si>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</si>
  <si>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</si>
  <si>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</si>
  <si>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</si>
  <si>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</si>
  <si>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</si>
  <si>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</si>
  <si>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</si>
  <si>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</si>
  <si>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</si>
  <si>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</si>
  <si>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</si>
  <si>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</si>
  <si>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</si>
  <si>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</si>
  <si>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</si>
  <si>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</si>
  <si>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</si>
  <si>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</si>
  <si>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</si>
  <si>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</si>
  <si>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</si>
  <si>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</si>
  <si>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</si>
  <si>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</si>
  <si>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</si>
  <si>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</si>
  <si>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</si>
  <si>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</si>
  <si>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</si>
  <si>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</si>
  <si>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</si>
  <si>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</si>
  <si>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</si>
  <si>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</si>
  <si>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</si>
  <si>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</si>
  <si>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</si>
  <si>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</si>
  <si>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</si>
  <si>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</si>
  <si>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</si>
  <si>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</si>
  <si>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</si>
  <si>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</si>
  <si>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</si>
  <si>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</si>
  <si>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</si>
  <si>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</si>
  <si>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</si>
  <si>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</si>
  <si>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</si>
  <si>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</si>
  <si>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</si>
  <si>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</si>
  <si>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</si>
  <si>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</si>
  <si>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</si>
  <si>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</si>
  <si>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</si>
  <si>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</si>
  <si>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</si>
  <si>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</si>
  <si>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</si>
  <si>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</si>
  <si>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</si>
  <si>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</si>
  <si>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</si>
  <si>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</si>
  <si>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</si>
  <si>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</si>
  <si>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</si>
  <si>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</si>
  <si>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</si>
  <si>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</si>
  <si>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</si>
  <si>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</si>
  <si>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</si>
  <si>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</si>
  <si>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</si>
  <si>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</si>
  <si>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</si>
  <si>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</si>
  <si>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</si>
  <si>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</si>
  <si>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</si>
  <si>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</si>
  <si>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</si>
  <si>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</si>
  <si>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</si>
  <si>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</si>
  <si>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</si>
  <si>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</si>
  <si>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</si>
  <si>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</si>
  <si>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</si>
  <si>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</si>
  <si>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</si>
  <si>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</si>
  <si>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</si>
  <si>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</si>
  <si>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</si>
  <si>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</si>
  <si>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</si>
  <si>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</si>
  <si>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</si>
  <si>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</si>
  <si>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</si>
  <si>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</si>
  <si>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</si>
  <si>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</si>
  <si>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</si>
  <si>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</si>
  <si>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</si>
  <si>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</si>
  <si>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</si>
  <si>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</si>
  <si>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</si>
  <si>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</si>
  <si>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</si>
  <si>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</si>
  <si>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</si>
  <si>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</si>
  <si>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</si>
  <si>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</si>
  <si>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</si>
  <si>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</si>
  <si>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</si>
  <si>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</si>
  <si>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</si>
  <si>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</si>
  <si>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</si>
  <si>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</si>
  <si>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</si>
  <si>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</si>
  <si>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</si>
  <si>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</si>
  <si>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</si>
  <si>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</si>
  <si>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</si>
  <si>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</si>
  <si>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</si>
  <si>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</si>
  <si>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</si>
  <si>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</si>
  <si>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</si>
  <si>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</si>
  <si>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</si>
  <si>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</si>
  <si>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</si>
  <si>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</si>
  <si>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</si>
  <si>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</si>
  <si>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</si>
  <si>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</si>
  <si>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</si>
  <si>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</si>
  <si>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</si>
  <si>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</si>
  <si>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</si>
  <si>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</si>
  <si>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</si>
  <si>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</si>
  <si>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</si>
  <si>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</si>
  <si>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</si>
  <si>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</si>
  <si>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</si>
  <si>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</si>
  <si>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</si>
  <si>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</si>
  <si>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</si>
  <si>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</si>
  <si>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</si>
  <si>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</si>
  <si>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</si>
  <si>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</si>
  <si>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</si>
  <si>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</si>
  <si>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</si>
  <si>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</si>
  <si>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</si>
  <si>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</si>
  <si>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</si>
  <si>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</si>
  <si>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</si>
  <si>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</si>
  <si>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</si>
  <si>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</si>
  <si>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</si>
  <si>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</si>
  <si>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</si>
  <si>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</si>
  <si>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</si>
  <si>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</si>
  <si>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</si>
  <si>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</si>
  <si>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</si>
  <si>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</si>
  <si>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</si>
  <si>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</si>
  <si>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</si>
  <si>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</si>
  <si>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</si>
  <si>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</si>
  <si>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</si>
  <si>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</si>
  <si>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</si>
  <si>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</si>
  <si>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</si>
  <si>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</si>
  <si>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</si>
  <si>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</si>
  <si>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</si>
  <si>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</si>
  <si>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</si>
  <si>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</si>
  <si>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</si>
  <si>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</si>
  <si>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</si>
  <si>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</si>
  <si>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</si>
  <si>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</si>
  <si>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</si>
  <si>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</si>
  <si>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</si>
  <si>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</si>
  <si>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</si>
  <si>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</si>
  <si>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</si>
  <si>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</si>
  <si>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</si>
  <si>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</si>
  <si>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</si>
  <si>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</si>
  <si>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</si>
  <si>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</si>
  <si>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</si>
  <si>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</si>
  <si>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</si>
  <si>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</si>
  <si>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</si>
  <si>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</si>
  <si>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</si>
  <si>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</si>
  <si>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</si>
  <si>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</si>
  <si>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</si>
  <si>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</si>
  <si>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</si>
  <si>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</si>
  <si>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</si>
  <si>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</si>
  <si>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</si>
  <si>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</si>
  <si>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</si>
  <si>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</si>
  <si>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</si>
  <si>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</si>
  <si>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</si>
  <si>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</si>
  <si>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</si>
  <si>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</si>
  <si>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</si>
  <si>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</si>
  <si>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</si>
  <si>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</si>
  <si>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</si>
  <si>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</si>
  <si>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</si>
  <si>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</si>
  <si>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</si>
  <si>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</si>
  <si>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</si>
  <si>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</si>
  <si>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</si>
  <si>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</si>
  <si>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</si>
  <si>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</si>
  <si>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</si>
  <si>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</si>
  <si>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</si>
  <si>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</si>
  <si>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</si>
  <si>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</si>
  <si>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</si>
  <si>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</si>
  <si>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</si>
  <si>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</si>
  <si>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</si>
  <si>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</si>
  <si>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</si>
  <si>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</si>
  <si>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</si>
  <si>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</si>
  <si>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</si>
  <si>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</si>
  <si>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</si>
  <si>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</si>
  <si>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</si>
  <si>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</si>
  <si>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</si>
  <si>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</si>
  <si>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</si>
  <si>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</si>
  <si>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</si>
  <si>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</si>
  <si>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</si>
  <si>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</si>
  <si>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</si>
  <si>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</si>
  <si>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</si>
  <si>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</si>
  <si>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</si>
  <si>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</si>
  <si>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</si>
  <si>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</si>
  <si>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</si>
  <si>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</si>
  <si>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</si>
  <si>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</si>
  <si>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</si>
  <si>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</si>
  <si>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</si>
  <si>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</si>
  <si>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</si>
  <si>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</si>
  <si>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</si>
  <si>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</si>
  <si>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</si>
  <si>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</si>
  <si>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</si>
  <si>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</si>
  <si>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</si>
  <si>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</si>
  <si>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</si>
  <si>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</si>
  <si>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</si>
  <si>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</si>
  <si>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</si>
  <si>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</si>
  <si>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</si>
  <si>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</si>
  <si>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</si>
  <si>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</si>
  <si>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</si>
  <si>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</si>
  <si>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</si>
  <si>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</si>
  <si>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</si>
  <si>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</si>
  <si>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</si>
  <si>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</si>
  <si>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</si>
  <si>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</si>
  <si>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</si>
  <si>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</si>
  <si>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</si>
  <si>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</si>
  <si>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</si>
  <si>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</si>
  <si>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</si>
  <si>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</si>
  <si>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</si>
  <si>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</si>
  <si>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</si>
  <si>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</si>
  <si>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</si>
  <si>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</si>
  <si>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</si>
  <si>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</si>
  <si>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</si>
  <si>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</si>
  <si>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</si>
  <si>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</si>
  <si>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</si>
  <si>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</si>
  <si>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</si>
  <si>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</si>
  <si>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</si>
  <si>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</si>
  <si>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</si>
  <si>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</si>
  <si>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</si>
  <si>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</si>
  <si>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</si>
  <si>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</si>
  <si>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</si>
  <si>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</si>
  <si>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</si>
  <si>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</si>
  <si>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</si>
  <si>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</si>
  <si>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</si>
  <si>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</si>
  <si>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</si>
  <si>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</si>
  <si>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</si>
  <si>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</si>
  <si>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</si>
  <si>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</si>
  <si>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</si>
  <si>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</si>
  <si>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</si>
  <si>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</si>
  <si>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</si>
  <si>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</si>
  <si>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</si>
  <si>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</si>
  <si>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</si>
  <si>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</si>
  <si>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</si>
  <si>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</si>
  <si>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</si>
  <si>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</si>
  <si>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</si>
  <si>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</si>
  <si>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</si>
  <si>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</si>
  <si>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</si>
  <si>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</si>
  <si>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</si>
  <si>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</si>
  <si>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</si>
  <si>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</si>
  <si>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</si>
  <si>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</si>
  <si>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</si>
  <si>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</si>
  <si>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</si>
  <si>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</si>
  <si>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</si>
  <si>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</si>
  <si>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</si>
  <si>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</si>
  <si>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</si>
  <si>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</si>
  <si>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</si>
  <si>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</si>
  <si>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</si>
  <si>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</si>
  <si>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</si>
  <si>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</si>
  <si>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</si>
  <si>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</si>
  <si>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</si>
  <si>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</si>
  <si>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</si>
  <si>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</si>
  <si>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</si>
  <si>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</si>
  <si>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</si>
  <si>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</si>
  <si>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</si>
  <si>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</si>
  <si>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</si>
  <si>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</si>
  <si>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</si>
  <si>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</si>
  <si>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</si>
  <si>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</si>
  <si>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</si>
  <si>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</si>
  <si>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</si>
  <si>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</si>
  <si>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</si>
  <si>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</si>
  <si>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</si>
  <si>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</si>
  <si>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</si>
  <si>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</si>
  <si>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</si>
  <si>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</si>
  <si>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</si>
  <si>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</si>
  <si>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</si>
  <si>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</si>
  <si>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</si>
  <si>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</si>
  <si>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</si>
  <si>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</si>
  <si>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</si>
  <si>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</si>
  <si>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</si>
  <si>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</si>
  <si>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</si>
  <si>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</si>
  <si>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</si>
  <si>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</si>
  <si>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</si>
  <si>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</si>
  <si>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</si>
  <si>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</si>
  <si>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</si>
  <si>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</si>
  <si>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</si>
  <si>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</si>
  <si>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</si>
  <si>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</si>
  <si>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</si>
  <si>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</si>
  <si>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</si>
  <si>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</si>
  <si>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</si>
  <si>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</si>
  <si>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</si>
  <si>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</si>
  <si>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</si>
  <si>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</si>
  <si>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</si>
  <si>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</si>
  <si>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</si>
  <si>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</si>
  <si>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</si>
  <si>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</si>
  <si>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</si>
  <si>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</si>
  <si>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</si>
  <si>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</si>
  <si>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</si>
  <si>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</si>
  <si>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</si>
  <si>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</si>
  <si>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</si>
  <si>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</si>
  <si>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</si>
  <si>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</si>
  <si>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</si>
  <si>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</si>
  <si>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</si>
  <si>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</si>
  <si>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</si>
  <si>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</si>
  <si>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</si>
  <si>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</si>
  <si>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</si>
  <si>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</si>
  <si>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</si>
  <si>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</si>
  <si>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</si>
  <si>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</si>
  <si>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</si>
  <si>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</si>
  <si>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</si>
  <si>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</si>
  <si>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</si>
  <si>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</si>
  <si>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</si>
  <si>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</si>
  <si>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</si>
  <si>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</si>
  <si>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</si>
  <si>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</si>
  <si>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</si>
  <si>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</si>
  <si>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</si>
  <si>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</si>
  <si>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</si>
  <si>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</si>
  <si>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</si>
  <si>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</si>
  <si>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</si>
  <si>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</si>
  <si>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</si>
  <si>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</si>
  <si>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</si>
  <si>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</si>
  <si>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</si>
  <si>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</si>
  <si>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</si>
  <si>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</si>
  <si>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</si>
  <si>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</si>
  <si>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</si>
  <si>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</si>
  <si>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</si>
  <si>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</si>
  <si>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</si>
  <si>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</si>
  <si>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</si>
  <si>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</si>
  <si>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</si>
  <si>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</si>
  <si>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</si>
  <si>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</si>
  <si>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</si>
  <si>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</si>
  <si>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</si>
  <si>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</si>
  <si>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</si>
  <si>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</si>
  <si>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</si>
  <si>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</si>
  <si>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</si>
  <si>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</si>
  <si>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</si>
  <si>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</si>
  <si>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</si>
  <si>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</si>
  <si>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</si>
  <si>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</si>
  <si>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</si>
  <si>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</si>
  <si>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</si>
  <si>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</si>
  <si>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</si>
  <si>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</si>
  <si>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</si>
  <si>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</si>
  <si>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</si>
  <si>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</si>
  <si>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</si>
  <si>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</si>
  <si>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</si>
  <si>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</si>
  <si>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</si>
  <si>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</si>
  <si>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</si>
  <si>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</si>
  <si>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</si>
  <si>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</si>
  <si>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</si>
  <si>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</si>
  <si>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</si>
  <si>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</si>
  <si>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</si>
  <si>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</si>
  <si>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</si>
  <si>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</si>
  <si>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</si>
  <si>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</si>
  <si>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</si>
  <si>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</si>
  <si>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</si>
  <si>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</si>
  <si>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</si>
  <si>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</si>
  <si>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</si>
  <si>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</si>
  <si>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</si>
  <si>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</si>
  <si>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</si>
  <si>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</si>
  <si>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</si>
  <si>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</si>
  <si>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</si>
  <si>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</si>
  <si>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</si>
  <si>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</si>
  <si>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</si>
  <si>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</si>
  <si>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</si>
  <si>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</si>
  <si>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</si>
  <si>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</si>
  <si>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</si>
  <si>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</si>
  <si>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</si>
  <si>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</si>
  <si>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</si>
  <si>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</si>
  <si>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</si>
  <si>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</si>
  <si>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</si>
  <si>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</si>
  <si>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</si>
  <si>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</si>
  <si>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</si>
  <si>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</si>
  <si>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</si>
  <si>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</si>
  <si>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</si>
  <si>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</si>
  <si>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</si>
  <si>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</si>
  <si>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</si>
  <si>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</si>
  <si>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</si>
  <si>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</si>
  <si>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</si>
  <si>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</si>
  <si>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</si>
  <si>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</si>
  <si>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</si>
  <si>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</si>
  <si>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</si>
  <si>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</si>
  <si>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</si>
  <si>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</si>
  <si>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</si>
  <si>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</si>
  <si>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</si>
  <si>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</si>
  <si>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</si>
  <si>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</si>
  <si>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</si>
  <si>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</si>
  <si>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</si>
  <si>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</si>
  <si>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</si>
  <si>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</si>
  <si>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</si>
  <si>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</si>
  <si>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</si>
  <si>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</si>
  <si>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</si>
  <si>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</si>
  <si>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</si>
  <si>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</si>
  <si>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</si>
  <si>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</si>
  <si>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</si>
  <si>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</si>
  <si>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</si>
  <si>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</si>
  <si>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</si>
  <si>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</si>
  <si>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</si>
  <si>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</si>
  <si>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</si>
  <si>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</si>
  <si>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</si>
  <si>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</si>
  <si>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</si>
  <si>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</si>
  <si>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</si>
  <si>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</si>
  <si>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</si>
  <si>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</si>
  <si>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</si>
  <si>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</si>
  <si>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</si>
  <si>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</si>
  <si>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</si>
  <si>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</si>
  <si>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</si>
  <si>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</si>
  <si>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</si>
  <si>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</si>
  <si>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</si>
  <si>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</si>
  <si>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</si>
  <si>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</si>
  <si>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</si>
  <si>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</si>
  <si>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</si>
  <si>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</si>
  <si>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</si>
  <si>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</si>
  <si>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</si>
  <si>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</si>
  <si>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</si>
  <si>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</si>
  <si>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</si>
  <si>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</si>
  <si>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</si>
  <si>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</si>
  <si>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</si>
  <si>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</si>
  <si>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</si>
  <si>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</si>
  <si>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</si>
  <si>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</si>
  <si>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</si>
  <si>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</si>
  <si>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</si>
  <si>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</si>
  <si>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</si>
  <si>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</si>
  <si>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</si>
  <si>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</si>
  <si>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</si>
  <si>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</si>
  <si>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</si>
  <si>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</si>
  <si>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</si>
  <si>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</si>
  <si>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</si>
  <si>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</si>
  <si>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</si>
  <si>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</si>
  <si>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</si>
  <si>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</si>
  <si>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</si>
  <si>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</si>
  <si>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</si>
  <si>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</si>
  <si>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</si>
  <si>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</si>
  <si>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</si>
  <si>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</si>
  <si>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</si>
  <si>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</si>
  <si>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</si>
  <si>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</si>
  <si>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</si>
  <si>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</si>
  <si>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</si>
  <si>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</si>
  <si>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</si>
  <si>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</si>
  <si>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</si>
  <si>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</si>
  <si>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</si>
  <si>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</si>
  <si>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</si>
  <si>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</si>
  <si>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</si>
  <si>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</si>
  <si>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</si>
  <si>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</si>
  <si>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</si>
  <si>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</si>
  <si>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</si>
  <si>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</si>
  <si>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</si>
  <si>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</si>
  <si>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</si>
  <si>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</si>
  <si>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</si>
  <si>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</si>
  <si>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</si>
  <si>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</si>
  <si>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</si>
  <si>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</si>
  <si>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</si>
  <si>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</si>
  <si>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</si>
  <si>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</si>
  <si>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</si>
  <si>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</si>
  <si>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</si>
  <si>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</si>
  <si>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</si>
  <si>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</si>
  <si>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</si>
  <si>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</si>
  <si>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</si>
  <si>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</si>
  <si>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</si>
  <si>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</si>
  <si>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</si>
  <si>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</si>
  <si>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</si>
  <si>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</si>
  <si>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</si>
  <si>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</si>
  <si>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</si>
  <si>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</si>
  <si>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</si>
  <si>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</si>
  <si>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</si>
  <si>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</si>
  <si>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</si>
  <si>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</si>
  <si>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</si>
  <si>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</si>
  <si>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</si>
  <si>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</si>
  <si>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</si>
  <si>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</si>
  <si>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</si>
  <si>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</si>
  <si>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</si>
  <si>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</si>
  <si>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</si>
  <si>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</si>
  <si>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</si>
  <si>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</si>
  <si>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</si>
  <si>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</si>
  <si>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</si>
  <si>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</si>
  <si>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</si>
  <si>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</si>
  <si>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</si>
  <si>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</si>
  <si>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</si>
  <si>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</si>
  <si>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</si>
  <si>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</si>
  <si>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</si>
  <si>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</si>
  <si>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</si>
  <si>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</si>
  <si>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</si>
  <si>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</si>
  <si>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</si>
  <si>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</si>
  <si>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</si>
  <si>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</si>
  <si>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</si>
  <si>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</si>
  <si>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</si>
  <si>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</si>
  <si>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</si>
  <si>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</si>
  <si>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</si>
  <si>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</si>
  <si>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</si>
  <si>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</si>
  <si>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</si>
  <si>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</si>
  <si>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</si>
  <si>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</si>
  <si>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</si>
  <si>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</si>
  <si>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</si>
  <si>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</si>
  <si>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</si>
  <si>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</si>
  <si>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</si>
  <si>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</si>
  <si>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</si>
  <si>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</si>
  <si>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</si>
  <si>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</si>
  <si>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</si>
  <si>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</si>
  <si>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</si>
  <si>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</si>
  <si>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</si>
  <si>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</si>
  <si>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</si>
  <si>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</si>
  <si>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</si>
  <si>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</si>
  <si>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</si>
  <si>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</si>
  <si>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</si>
  <si>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</si>
  <si>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</si>
  <si>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</si>
  <si>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</si>
  <si>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</si>
  <si>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</si>
  <si>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</si>
  <si>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</si>
  <si>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</si>
  <si>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</si>
  <si>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</si>
  <si>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</si>
  <si>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</si>
  <si>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</si>
  <si>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</si>
  <si>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</si>
  <si>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</si>
  <si>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</si>
  <si>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</si>
  <si>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</si>
  <si>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</si>
  <si>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</si>
  <si>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</si>
  <si>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</si>
  <si>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</si>
  <si>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</si>
  <si>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</si>
  <si>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</si>
  <si>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</si>
  <si>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</si>
  <si>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</si>
  <si>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</si>
  <si>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</si>
  <si>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</si>
  <si>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</si>
  <si>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</si>
  <si>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</si>
  <si>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</si>
  <si>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</si>
  <si>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</si>
  <si>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</si>
  <si>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</si>
  <si>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</si>
  <si>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</si>
  <si>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</si>
  <si>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</si>
  <si>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</si>
  <si>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</si>
  <si>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</si>
  <si>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Row Labels</t>
  </si>
  <si>
    <t>Grand Total</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</si>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</sst>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44" formatCode="_(&quot;$&quot;* #,##0.00_);_(&quot;$&quot;* \(#,##0.00\);_(&quot;$&quot;* &quot;-&quot;??_);_(@_)"/>
    <numFmt numFmtId="164" formatCode="0.0"/>
    <numFmt numFmtId="166" formatCode="dd\-mmm\-yyyy"/>
    <numFmt numFmtId="167" formatCode="0.0\ &quot;kg&quot;"/>
  </numFmts>
  <fonts count="4" x14ac:knownFonts="1">
    <font>
      <sz val="11"/>
      <color theme="1"/>
      <name val="Calibri"/>
      <family val="2"/>
      <scheme val="minor"/>
    </font>
    <font>
      <sz val="11"/>
      <color indexed="8"/>
      <name val="Calibri"/>
      <family val="2"/>
    </font>
    <font>
      <sz val="11"/>
      <color theme="1"/>
      <name val="Calibri"/>
      <family val="2"/>
      <scheme val="minor"/>
    </font>
    <font>
      <sz val="11"/>
      <color theme="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0" fontId="0" fillId="0" borderId="0" xfId="0" applyAlignment="1">
      <alignment wrapText="1"/>
    </xf>
    <xf numFmtId="166" fontId="1" fillId="0" borderId="0" xfId="0" applyNumberFormat="1" applyFont="1" applyAlignment="1">
      <alignment vertical="center"/>
    </xf>
    <xf numFmtId="166" fontId="0" fillId="0" borderId="0" xfId="0" applyNumberFormat="1"/>
    <xf numFmtId="167" fontId="1" fillId="0" borderId="0" xfId="0" applyNumberFormat="1" applyFont="1" applyAlignment="1">
      <alignment vertical="center"/>
    </xf>
    <xf numFmtId="167" fontId="0" fillId="0" borderId="0" xfId="0" applyNumberFormat="1"/>
    <xf numFmtId="44" fontId="1" fillId="0" borderId="0" xfId="1" applyFont="1" applyAlignment="1">
      <alignment vertical="center"/>
    </xf>
    <xf numFmtId="44" fontId="0" fillId="0" borderId="0" xfId="1" applyFont="1"/>
    <xf numFmtId="0" fontId="0" fillId="0" borderId="0" xfId="0" pivotButton="1"/>
    <xf numFmtId="0" fontId="0" fillId="0" borderId="0" xfId="0" applyAlignment="1">
      <alignment horizontal="left"/>
    </xf>
    <xf numFmtId="37" fontId="0" fillId="0" borderId="0" xfId="0" applyNumberFormat="1"/>
    <xf numFmtId="5" fontId="0" fillId="0" borderId="0" xfId="0" applyNumberFormat="1"/>
    <xf numFmtId="0" fontId="3" fillId="0" borderId="0" xfId="0" applyFont="1"/>
  </cellXfs>
  <cellStyles count="2">
    <cellStyle name="Currency" xfId="1" builtinId="4"/>
    <cellStyle name="Normal" xfId="0" builtinId="0"/>
  </cellStyles>
  <dxfs count="23">
    <dxf>
      <font>
        <b/>
        <i val="0"/>
        <sz val="13"/>
        <color theme="0"/>
        <name val="Calibri"/>
        <family val="2"/>
        <scheme val="minor"/>
      </font>
      <border>
        <left style="thin">
          <color auto="1"/>
        </left>
        <right style="thin">
          <color auto="1"/>
        </right>
        <top style="thin">
          <color auto="1"/>
        </top>
        <bottom style="thin">
          <color auto="1"/>
        </bottom>
      </border>
    </dxf>
    <dxf>
      <fill>
        <patternFill>
          <bgColor rgb="FF0070C0"/>
        </patternFill>
      </fill>
      <border>
        <left style="thin">
          <color auto="1"/>
        </left>
        <right style="thin">
          <color auto="1"/>
        </right>
        <top style="thin">
          <color auto="1"/>
        </top>
        <bottom style="thin">
          <color auto="1"/>
        </bottom>
      </border>
    </dxf>
    <dxf>
      <numFmt numFmtId="0" formatCode="General"/>
    </dxf>
    <dxf>
      <font>
        <b/>
        <i val="0"/>
        <sz val="10"/>
        <color theme="0"/>
        <name val="Calibri"/>
        <family val="2"/>
        <scheme val="minor"/>
      </font>
      <fill>
        <patternFill>
          <bgColor rgb="FF1616AA"/>
        </patternFill>
      </fill>
    </dxf>
    <dxf>
      <font>
        <b val="0"/>
        <i val="0"/>
        <sz val="11"/>
        <name val="Calibri"/>
        <family val="2"/>
        <scheme val="minor"/>
      </font>
      <fill>
        <patternFill patternType="solid">
          <fgColor theme="0"/>
          <bgColor rgb="FF0156FF"/>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1"/>
        <color theme="0"/>
        <name val="Calibri"/>
        <family val="2"/>
        <scheme val="min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ont>
        <b val="0"/>
        <i val="0"/>
        <sz val="11"/>
        <name val="Calibri"/>
        <family val="2"/>
        <scheme val="minor"/>
      </font>
      <fill>
        <patternFill patternType="solid">
          <fgColor theme="0"/>
          <bgColor theme="8" tint="0.79998168889431442"/>
        </patternFill>
      </fill>
      <border>
        <left style="thin">
          <color rgb="FF002060"/>
        </left>
        <right style="thin">
          <color rgb="FF002060"/>
        </right>
        <top style="thin">
          <color rgb="FF002060"/>
        </top>
        <bottom style="thin">
          <color rgb="FF002060"/>
        </bottom>
      </border>
    </dxf>
    <dxf>
      <font>
        <b/>
        <sz val="11"/>
        <color theme="1"/>
      </font>
    </dxf>
    <dxf>
      <font>
        <b val="0"/>
        <i val="0"/>
        <sz val="11"/>
        <name val="Calibri"/>
        <family val="2"/>
        <scheme val="minor"/>
      </font>
      <fill>
        <patternFill patternType="solid">
          <fgColor theme="0"/>
          <bgColor theme="8" tint="0.59996337778862885"/>
        </patternFill>
      </fill>
      <border>
        <left style="thin">
          <color theme="8" tint="-0.499984740745262"/>
        </left>
        <right style="thin">
          <color theme="8" tint="-0.499984740745262"/>
        </right>
        <top style="thin">
          <color theme="8" tint="-0.499984740745262"/>
        </top>
        <bottom style="thin">
          <color theme="8" tint="-0.499984740745262"/>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5" defaultTableStyle="TableStyleMedium2" defaultPivotStyle="PivotStyleMedium9">
    <tableStyle name="BlueTimeline" pivot="0" table="0" count="8" xr9:uid="{E2C4B66C-EE65-4891-8C54-F4DEF377864D}">
      <tableStyleElement type="wholeTable" dxfId="10"/>
      <tableStyleElement type="headerRow" dxfId="9"/>
    </tableStyle>
    <tableStyle name="BlueTimeline2" pivot="0" table="0" count="8" xr9:uid="{4C37E6F9-8917-4E39-8445-46966E68102D}">
      <tableStyleElement type="wholeTable" dxfId="8"/>
      <tableStyleElement type="headerRow" dxfId="7"/>
    </tableStyle>
    <tableStyle name="BT" pivot="0" table="0" count="8" xr9:uid="{BE1C501A-03F5-44A9-9532-CE004C36EA91}">
      <tableStyleElement type="wholeTable" dxfId="4"/>
      <tableStyleElement type="headerRow" dxfId="3"/>
    </tableStyle>
    <tableStyle name="Slicer Style 1" pivot="0" table="0" count="4" xr9:uid="{48B2D696-BCAA-4EAA-B31C-C5A8C3F8BE15}">
      <tableStyleElement type="wholeTable" dxfId="1"/>
      <tableStyleElement type="headerRow" dxfId="0"/>
    </tableStyle>
    <tableStyle name="Timeline Style 1" pivot="0" table="0" count="8" xr9:uid="{FA5CFBD5-6F4A-43F0-B41B-AAC14E7E823E}">
      <tableStyleElement type="wholeTable" dxfId="6"/>
      <tableStyleElement type="headerRow" dxfId="5"/>
    </tableStyle>
  </tableStyles>
  <colors>
    <mruColors>
      <color rgb="FF1616AA"/>
      <color rgb="FF6932D6"/>
      <color rgb="FF6097FA"/>
      <color rgb="FF0757E7"/>
      <color rgb="FF0645B6"/>
      <color rgb="FF0156FF"/>
      <color rgb="FFE85E99"/>
      <color rgb="FF512373"/>
      <color rgb="FFE9D1EB"/>
      <color rgb="FFEC94EA"/>
    </mruColors>
  </colors>
  <extLst>
    <ext xmlns:x14="http://schemas.microsoft.com/office/spreadsheetml/2009/9/main" uri="{46F421CA-312F-682f-3DD2-61675219B42D}">
      <x14:dxfs count="13">
        <dxf>
          <font>
            <color theme="1"/>
          </font>
          <fill>
            <patternFill>
              <bgColor theme="8" tint="0.79998168889431442"/>
            </patternFill>
          </fill>
        </dxf>
        <dxf>
          <font>
            <b/>
            <i val="0"/>
            <u/>
            <sz val="10"/>
            <color theme="1"/>
            <name val="Calibri"/>
            <family val="2"/>
            <scheme val="minor"/>
          </font>
          <fill>
            <patternFill>
              <bgColor theme="8" tint="0.79998168889431442"/>
            </patternFill>
          </fill>
        </dxf>
        <dxf>
          <font>
            <color theme="1"/>
          </font>
          <fill>
            <patternFill>
              <bgColor theme="8" tint="0.79998168889431442"/>
            </patternFill>
          </fill>
        </dxf>
        <dxf>
          <font>
            <b/>
            <i val="0"/>
            <sz val="10"/>
            <color theme="1"/>
            <name val="Calibri"/>
            <family val="2"/>
            <scheme val="minor"/>
          </font>
          <fill>
            <patternFill>
              <bgColor theme="8" tint="0.79998168889431442"/>
            </patternFill>
          </fill>
        </dxf>
        <dxf>
          <fill>
            <patternFill>
              <bgColor theme="8" tint="0.79998168889431442"/>
            </patternFill>
          </fill>
        </dxf>
        <dxf>
          <font>
            <b/>
            <i val="0"/>
            <sz val="10"/>
            <color theme="0"/>
            <name val="Calibri"/>
            <family val="2"/>
            <scheme val="minor"/>
          </font>
          <fill>
            <patternFill>
              <bgColor theme="6"/>
            </patternFill>
          </fill>
        </dxf>
        <dxf>
          <font>
            <b/>
            <i val="0"/>
            <sz val="10"/>
            <color theme="0"/>
            <name val="Calibri"/>
            <family val="2"/>
            <scheme val="minor"/>
          </font>
          <fill>
            <patternFill>
              <bgColor theme="8" tint="0.79998168889431442"/>
            </patternFill>
          </fill>
        </dxf>
        <dxf>
          <font>
            <b val="0"/>
            <i val="0"/>
            <sz val="10"/>
            <color theme="0"/>
            <name val="Calibri"/>
            <family val="2"/>
            <scheme val="minor"/>
          </font>
          <fill>
            <patternFill>
              <bgColor theme="8" tint="0.79998168889431442"/>
            </patternFill>
          </fill>
        </dxf>
        <dxf>
          <font>
            <b/>
            <i val="0"/>
            <sz val="10"/>
            <color theme="0"/>
            <name val="Calibri"/>
            <family val="2"/>
            <scheme val="minor"/>
          </font>
          <fill>
            <patternFill>
              <bgColor theme="8" tint="0.79998168889431442"/>
            </patternFill>
          </fill>
        </dxf>
        <dxf>
          <font>
            <b val="0"/>
            <i val="0"/>
            <sz val="10"/>
            <color theme="0"/>
            <name val="Calibri"/>
            <family val="2"/>
            <scheme val="minor"/>
          </font>
          <fill>
            <patternFill>
              <bgColor theme="8" tint="0.79998168889431442"/>
            </patternFill>
          </fill>
        </dxf>
        <dxf>
          <font>
            <b/>
            <i val="0"/>
            <sz val="10"/>
            <color theme="0"/>
            <name val="Calibri"/>
            <family val="2"/>
            <scheme val="minor"/>
          </font>
        </dxf>
        <dxf>
          <font>
            <b val="0"/>
            <i val="0"/>
            <sz val="10"/>
            <color theme="0"/>
            <name val="Calibri"/>
            <family val="2"/>
            <scheme val="minor"/>
          </font>
        </dxf>
        <dxf>
          <font>
            <b/>
            <i val="0"/>
            <sz val="10"/>
            <color theme="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24">
        <dxf>
          <fill>
            <patternFill patternType="solid">
              <fgColor theme="0" tint="-0.14999847407452621"/>
              <bgColor theme="0" tint="-0.14999847407452621"/>
            </patternFill>
          </fill>
        </dxf>
        <dxf>
          <fill>
            <patternFill patternType="solid">
              <fgColor theme="0"/>
              <bgColor rgb="FF00B0F0"/>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sz val="9"/>
            <color theme="0"/>
            <name val="Calibri"/>
            <family val="2"/>
            <scheme val="minor"/>
          </font>
        </dxf>
        <dxf>
          <font>
            <b/>
            <i val="0"/>
            <sz val="10"/>
            <color theme="0"/>
            <name val="Calibri"/>
            <family val="2"/>
            <scheme val="minor"/>
          </font>
        </dxf>
        <dxf>
          <font>
            <sz val="9"/>
            <color theme="1" tint="0.499984740745262"/>
          </font>
        </dxf>
        <dxf>
          <font>
            <b/>
            <i val="0"/>
            <sz val="9"/>
            <color theme="8" tint="-0.499984740745262"/>
            <name val="Calibri"/>
            <family val="2"/>
            <scheme val="minor"/>
          </font>
        </dxf>
        <dxf>
          <font>
            <b/>
            <i val="0"/>
            <sz val="11"/>
            <color theme="1"/>
            <name val="Calibri"/>
            <family val="2"/>
            <scheme val="minor"/>
          </font>
        </dxf>
        <dxf>
          <font>
            <b/>
            <i val="0"/>
            <sz val="11"/>
            <color theme="1" tint="0.499984740745262"/>
            <name val="Calibri"/>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line Style 1">
        <x15:timelineStyle name="BlueTimeline">
          <x15:timelineStyleElements>
            <x15:timelineStyleElement type="selectionLabel" dxfId="21"/>
            <x15:timelineStyleElement type="timeLevel" dxfId="20"/>
            <x15:timelineStyleElement type="periodLabel1" dxfId="19"/>
            <x15:timelineStyleElement type="periodLabel2" dxfId="18"/>
            <x15:timelineStyleElement type="selectedTimeBlock" dxfId="23"/>
            <x15:timelineStyleElement type="unselectedTimeBlock" dxfId="22"/>
          </x15:timelineStyleElements>
        </x15:timelineStyle>
        <x15:timelineStyle name="BlueTimeline2">
          <x15:timelineStyleElements>
            <x15:timelineStyleElement type="selectionLabel" dxfId="15"/>
            <x15:timelineStyleElement type="timeLevel" dxfId="14"/>
            <x15:timelineStyleElement type="periodLabel1" dxfId="13"/>
            <x15:timelineStyleElement type="periodLabel2" dxfId="12"/>
            <x15:timelineStyleElement type="selectedTimeBlock" dxfId="17"/>
            <x15:timelineStyleElement type="unselectedTimeBlock" dxfId="16"/>
          </x15:timelineStyleElements>
        </x15:timelineStyle>
        <x15:timelineStyle name="BT">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 name="Timeline Style 1">
          <x15:timelineStyleElements>
            <x15:timelineStyleElement type="selectionLabel" dxfId="9"/>
            <x15:timelineStyleElement type="timeLevel" dxfId="8"/>
            <x15:timelineStyleElement type="periodLabel1" dxfId="7"/>
            <x15:timelineStyleElement type="periodLabel2" dxfId="6"/>
            <x15:timelineStyleElement type="selectedTimeBlock" dxfId="11"/>
            <x15:timelineStyleElement type="unselectedTimeBlock" dxfId="1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[coffeeSales.xlsx]PivotTables!Total_Sales</c:name>
    <c:fmtId val="6"/>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200"/>
              <a:t>Total Sales</a:t>
            </a:r>
            <a:r>
              <a:rPr lang="en-US" sz="1200" baseline="0"/>
              <a:t> Over Time</a:t>
            </a:r>
          </a:p>
        </c:rich>
      </c:tx>
      <c:layout>
        <c:manualLayout>
          <c:xMode val="edge"/>
          <c:yMode val="edge"/>
          <c:x val="0.3110901137357830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cap="rnd">
            <a:solidFill>
              <a:srgbClr val="E85E99"/>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EC94EA"/>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5875" cap="rnd">
            <a:solidFill>
              <a:schemeClr val="bg2">
                <a:lumMod val="1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rgbClr val="7030A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rgbClr val="E85E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rgbClr val="EC94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5875" cap="rnd">
            <a:solidFill>
              <a:schemeClr val="bg2">
                <a:lumMod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rgbClr val="E85E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19050" cap="rnd">
            <a:solidFill>
              <a:srgbClr val="EC94E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5875" cap="rnd">
            <a:solidFill>
              <a:schemeClr val="bg2">
                <a:lumMod val="1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00206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900481189851273E-2"/>
          <c:y val="7.8703703703703706E-2"/>
          <c:w val="0.74305752405949255"/>
          <c:h val="0.71300196850393704"/>
        </c:manualLayout>
      </c:layout>
      <c:lineChart>
        <c:grouping val="standard"/>
        <c:varyColors val="0"/>
        <c:ser>
          <c:idx val="0"/>
          <c:order val="0"/>
          <c:tx>
            <c:strRef>
              <c:f>PivotTables!$C$3:$C$4</c:f>
              <c:strCache>
                <c:ptCount val="1"/>
                <c:pt idx="0">
                  <c:v>Arabica</c:v>
                </c:pt>
              </c:strCache>
            </c:strRef>
          </c:tx>
          <c:spPr>
            <a:ln w="19050" cap="rnd">
              <a:solidFill>
                <a:srgbClr val="E85E99"/>
              </a:solidFill>
              <a:round/>
            </a:ln>
            <a:effectLst/>
          </c:spPr>
          <c:marker>
            <c:symbol val="none"/>
          </c:marker>
          <c:cat>
            <c:multiLvlStrRef>
              <c:f>PivotTables!$A$5:$B$49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PivotTables!$C$5:$C$49</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546-43B4-8DAA-F1127F5F8D63}"/>
            </c:ext>
          </c:extLst>
        </c:ser>
        <c:ser>
          <c:idx val="1"/>
          <c:order val="1"/>
          <c:tx>
            <c:strRef>
              <c:f>PivotTables!$D$3:$D$4</c:f>
              <c:strCache>
                <c:ptCount val="1"/>
                <c:pt idx="0">
                  <c:v>Excelsa</c:v>
                </c:pt>
              </c:strCache>
            </c:strRef>
          </c:tx>
          <c:spPr>
            <a:ln w="19050" cap="rnd">
              <a:solidFill>
                <a:srgbClr val="EC94EA"/>
              </a:solidFill>
              <a:round/>
            </a:ln>
            <a:effectLst/>
          </c:spPr>
          <c:marker>
            <c:symbol val="none"/>
          </c:marker>
          <c:cat>
            <c:multiLvlStrRef>
              <c:f>PivotTables!$A$5:$B$49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PivotTables!$D$5:$D$49</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546-43B4-8DAA-F1127F5F8D63}"/>
            </c:ext>
          </c:extLst>
        </c:ser>
        <c:ser>
          <c:idx val="2"/>
          <c:order val="2"/>
          <c:tx>
            <c:strRef>
              <c:f>PivotTables!$E$3:$E$4</c:f>
              <c:strCache>
                <c:ptCount val="1"/>
                <c:pt idx="0">
                  <c:v>Liberica</c:v>
                </c:pt>
              </c:strCache>
            </c:strRef>
          </c:tx>
          <c:spPr>
            <a:ln w="15875" cap="rnd">
              <a:solidFill>
                <a:schemeClr val="bg2">
                  <a:lumMod val="10000"/>
                </a:schemeClr>
              </a:solidFill>
              <a:round/>
            </a:ln>
            <a:effectLst/>
          </c:spPr>
          <c:marker>
            <c:symbol val="none"/>
          </c:marker>
          <c:cat>
            <c:multiLvlStrRef>
              <c:f>PivotTables!$A$5:$B$49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PivotTables!$E$5:$E$49</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2546-43B4-8DAA-F1127F5F8D63}"/>
            </c:ext>
          </c:extLst>
        </c:ser>
        <c:ser>
          <c:idx val="3"/>
          <c:order val="3"/>
          <c:tx>
            <c:strRef>
              <c:f>PivotTables!$F$3:$F$4</c:f>
              <c:strCache>
                <c:ptCount val="1"/>
                <c:pt idx="0">
                  <c:v>Robusta</c:v>
                </c:pt>
              </c:strCache>
            </c:strRef>
          </c:tx>
          <c:spPr>
            <a:ln w="19050" cap="rnd">
              <a:solidFill>
                <a:srgbClr val="7030A0"/>
              </a:solidFill>
              <a:round/>
            </a:ln>
            <a:effectLst/>
          </c:spPr>
          <c:marker>
            <c:symbol val="none"/>
          </c:marker>
          <c:cat>
            <c:multiLvlStrRef>
              <c:f>PivotTables!$A$5:$B$49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PivotTables!$F$5:$F$49</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2546-43B4-8DAA-F1127F5F8D63}"/>
            </c:ext>
          </c:extLst>
        </c:ser>
        <c:dLbls>
          <c:showLegendKey val="0"/>
          <c:showVal val="0"/>
          <c:showCatName val="0"/>
          <c:showSerName val="0"/>
          <c:showPercent val="0"/>
          <c:showBubbleSize val="0"/>
        </c:dLbls>
        <c:smooth val="0"/>
        <c:axId val="1594871711"/>
        <c:axId val="1594869791"/>
      </c:lineChart>
      <c:catAx>
        <c:axId val="159487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94869791"/>
        <c:crosses val="autoZero"/>
        <c:auto val="1"/>
        <c:lblAlgn val="ctr"/>
        <c:lblOffset val="100"/>
        <c:noMultiLvlLbl val="0"/>
      </c:catAx>
      <c:valAx>
        <c:axId val="1594869791"/>
        <c:scaling>
          <c:orientation val="minMax"/>
        </c:scaling>
        <c:delete val="0"/>
        <c:axPos val="l"/>
        <c:majorGridlines>
          <c:spPr>
            <a:ln w="9525" cap="flat" cmpd="sng" algn="ctr">
              <a:solidFill>
                <a:schemeClr val="bg1"/>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crossAx val="1594871711"/>
        <c:crosses val="autoZero"/>
        <c:crossBetween val="between"/>
      </c:valAx>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plotArea>
    <c:legend>
      <c:legendPos val="r"/>
      <c:layout>
        <c:manualLayout>
          <c:xMode val="edge"/>
          <c:yMode val="edge"/>
          <c:x val="0.83351356080489936"/>
          <c:y val="0.34374890638670164"/>
          <c:w val="0.16572819283949769"/>
          <c:h val="0.30809726784597585"/>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solidFill>
            <a:srgbClr val="00206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[coffeeSales.xlsx]PivotTables!Sales By country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62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62000"/>
                      </a:schemeClr>
                    </a:solidFill>
                  </a:ln>
                  <a:solidFill>
                    <a:schemeClr val="tx1">
                      <a:lumMod val="95000"/>
                      <a:lumOff val="5000"/>
                    </a:schemeClr>
                  </a:solidFill>
                  <a:latin typeface="+mn-lt"/>
                  <a:ea typeface="+mn-ea"/>
                  <a:cs typeface="+mn-cs"/>
                </a:defRPr>
              </a:pPr>
              <a:endParaRPr lang="en-US"/>
            </a:p>
          </c:txPr>
        </c:dLbl>
      </c:pivotFmt>
      <c:pivotFmt>
        <c:idx val="2"/>
        <c:spPr>
          <a:solidFill>
            <a:schemeClr val="accent1">
              <a:lumMod val="40000"/>
              <a:lumOff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62000"/>
                      </a:schemeClr>
                    </a:solidFill>
                  </a:ln>
                  <a:solidFill>
                    <a:schemeClr val="tx1">
                      <a:lumMod val="75000"/>
                      <a:lumOff val="25000"/>
                    </a:schemeClr>
                  </a:solidFill>
                  <a:latin typeface="+mn-lt"/>
                  <a:ea typeface="+mn-ea"/>
                  <a:cs typeface="+mn-cs"/>
                </a:defRPr>
              </a:pPr>
              <a:endParaRPr lang="en-US"/>
            </a:p>
          </c:txPr>
        </c:dLbl>
      </c:pivotFmt>
      <c:pivotFmt>
        <c:idx val="3"/>
        <c:spPr>
          <a:solidFill>
            <a:schemeClr val="accent1">
              <a:lumMod val="75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62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75000"/>
            </a:schemeClr>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62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75000"/>
            </a:schemeClr>
          </a:solidFill>
          <a:ln>
            <a:noFill/>
          </a:ln>
          <a:effectLst/>
        </c:spPr>
      </c:pivotFmt>
    </c:pivotFmts>
    <c:plotArea>
      <c:layout>
        <c:manualLayout>
          <c:layoutTarget val="inner"/>
          <c:xMode val="edge"/>
          <c:yMode val="edge"/>
          <c:x val="0.20443269225752708"/>
          <c:y val="0.13777070194584179"/>
          <c:w val="0.76519895725910092"/>
          <c:h val="0.81186446849602401"/>
        </c:manualLayout>
      </c:layout>
      <c:barChart>
        <c:barDir val="bar"/>
        <c:grouping val="clustered"/>
        <c:varyColors val="0"/>
        <c:ser>
          <c:idx val="0"/>
          <c:order val="0"/>
          <c:tx>
            <c:strRef>
              <c:f>PivotTables!$R$26</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7632-4E11-8C6A-AE413D9FC8CD}"/>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7632-4E11-8C6A-AE413D9FC8CD}"/>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7632-4E11-8C6A-AE413D9FC8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lumMod val="95000"/>
                          <a:lumOff val="5000"/>
                          <a:alpha val="62000"/>
                        </a:schemeClr>
                      </a:solid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PivotTables!$Q$27:$Q$30</c:f>
              <c:strCache>
                <c:ptCount val="3"/>
                <c:pt idx="0">
                  <c:v>United Kingdom</c:v>
                </c:pt>
                <c:pt idx="1">
                  <c:v>Ireland</c:v>
                </c:pt>
                <c:pt idx="2">
                  <c:v>United States</c:v>
                </c:pt>
              </c:strCache>
            </c:strRef>
          </c:cat>
          <c:val>
            <c:numRef>
              <c:f>PivotTables!$R$27:$R$30</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7632-4E11-8C6A-AE413D9FC8CD}"/>
            </c:ext>
          </c:extLst>
        </c:ser>
        <c:dLbls>
          <c:dLblPos val="outEnd"/>
          <c:showLegendKey val="0"/>
          <c:showVal val="1"/>
          <c:showCatName val="0"/>
          <c:showSerName val="0"/>
          <c:showPercent val="0"/>
          <c:showBubbleSize val="0"/>
        </c:dLbls>
        <c:gapWidth val="182"/>
        <c:axId val="1799922495"/>
        <c:axId val="1799937855"/>
      </c:barChart>
      <c:catAx>
        <c:axId val="1799922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95000"/>
                      <a:lumOff val="5000"/>
                      <a:alpha val="32000"/>
                    </a:schemeClr>
                  </a:solidFill>
                </a:ln>
                <a:solidFill>
                  <a:schemeClr val="tx1">
                    <a:lumMod val="95000"/>
                    <a:lumOff val="5000"/>
                  </a:schemeClr>
                </a:solidFill>
                <a:latin typeface="+mn-lt"/>
                <a:ea typeface="+mn-ea"/>
                <a:cs typeface="+mn-cs"/>
              </a:defRPr>
            </a:pPr>
            <a:endParaRPr lang="en-US"/>
          </a:p>
        </c:txPr>
        <c:crossAx val="1799937855"/>
        <c:crosses val="autoZero"/>
        <c:auto val="1"/>
        <c:lblAlgn val="ctr"/>
        <c:lblOffset val="100"/>
        <c:noMultiLvlLbl val="0"/>
      </c:catAx>
      <c:valAx>
        <c:axId val="1799937855"/>
        <c:scaling>
          <c:orientation val="minMax"/>
        </c:scaling>
        <c:delete val="0"/>
        <c:axPos val="b"/>
        <c:majorGridlines>
          <c:spPr>
            <a:ln w="15875" cap="flat" cmpd="sng" algn="ctr">
              <a:solidFill>
                <a:schemeClr val="bg1"/>
              </a:solidFill>
              <a:round/>
            </a:ln>
            <a:effectLst/>
          </c:spPr>
        </c:majorGridlines>
        <c:numFmt formatCode="&quot;$&quot;#,##0_);\(&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922495"/>
        <c:crosses val="autoZero"/>
        <c:crossBetween val="between"/>
      </c:valAx>
      <c:spPr>
        <a:solidFill>
          <a:schemeClr val="tx2">
            <a:lumMod val="20000"/>
            <a:lumOff val="80000"/>
          </a:schemeClr>
        </a:solidFill>
        <a:ln w="127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bg1">
          <a:alpha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[coffeeSales.xlsx]PivotTables!Top 5 Customers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75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20000"/>
              <a:lumOff val="80000"/>
            </a:schemeClr>
          </a:solidFill>
          <a:ln>
            <a:noFill/>
          </a:ln>
          <a:effectLst/>
        </c:spPr>
      </c:pivotFmt>
      <c:pivotFmt>
        <c:idx val="8"/>
        <c:spPr>
          <a:solidFill>
            <a:schemeClr val="accent1">
              <a:lumMod val="40000"/>
              <a:lumOff val="60000"/>
            </a:schemeClr>
          </a:solidFill>
          <a:ln>
            <a:noFill/>
          </a:ln>
          <a:effectLst/>
        </c:spPr>
      </c:pivotFmt>
      <c:pivotFmt>
        <c:idx val="9"/>
        <c:spPr>
          <a:solidFill>
            <a:schemeClr val="accent1">
              <a:lumMod val="60000"/>
              <a:lumOff val="40000"/>
            </a:schemeClr>
          </a:solidFill>
          <a:ln>
            <a:noFill/>
          </a:ln>
          <a:effectLst/>
        </c:spPr>
      </c:pivotFmt>
      <c:pivotFmt>
        <c:idx val="10"/>
        <c:spPr>
          <a:solidFill>
            <a:schemeClr val="accent1">
              <a:lumMod val="75000"/>
            </a:schemeClr>
          </a:solidFill>
          <a:ln>
            <a:noFill/>
          </a:ln>
          <a:effectLst/>
        </c:spPr>
      </c:pivotFmt>
      <c:pivotFmt>
        <c:idx val="11"/>
        <c:spPr>
          <a:solidFill>
            <a:schemeClr val="accent1">
              <a:lumMod val="50000"/>
            </a:schemeClr>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20000"/>
              <a:lumOff val="80000"/>
            </a:schemeClr>
          </a:solidFill>
          <a:ln>
            <a:noFill/>
          </a:ln>
          <a:effectLst/>
        </c:spPr>
      </c:pivotFmt>
      <c:pivotFmt>
        <c:idx val="14"/>
        <c:spPr>
          <a:solidFill>
            <a:schemeClr val="accent1">
              <a:lumMod val="40000"/>
              <a:lumOff val="60000"/>
            </a:schemeClr>
          </a:solidFill>
          <a:ln>
            <a:noFill/>
          </a:ln>
          <a:effectLst/>
        </c:spPr>
      </c:pivotFmt>
      <c:pivotFmt>
        <c:idx val="15"/>
        <c:spPr>
          <a:solidFill>
            <a:schemeClr val="accent1">
              <a:lumMod val="60000"/>
              <a:lumOff val="40000"/>
            </a:schemeClr>
          </a:solidFill>
          <a:ln>
            <a:noFill/>
          </a:ln>
          <a:effectLst/>
        </c:spPr>
      </c:pivotFmt>
      <c:pivotFmt>
        <c:idx val="16"/>
        <c:spPr>
          <a:solidFill>
            <a:schemeClr val="accent1">
              <a:lumMod val="75000"/>
            </a:schemeClr>
          </a:solidFill>
          <a:ln>
            <a:noFill/>
          </a:ln>
          <a:effectLst/>
        </c:spPr>
      </c:pivotFmt>
      <c:pivotFmt>
        <c:idx val="17"/>
        <c:spPr>
          <a:solidFill>
            <a:schemeClr val="accent1">
              <a:lumMod val="50000"/>
            </a:schemeClr>
          </a:solidFill>
          <a:ln>
            <a:noFill/>
          </a:ln>
          <a:effectLst/>
        </c:spPr>
      </c:pivotFmt>
    </c:pivotFmts>
    <c:plotArea>
      <c:layout/>
      <c:barChart>
        <c:barDir val="bar"/>
        <c:grouping val="clustered"/>
        <c:varyColors val="0"/>
        <c:ser>
          <c:idx val="0"/>
          <c:order val="0"/>
          <c:tx>
            <c:strRef>
              <c:f>PivotTables!$W$9</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28EC-4C8B-989A-7215D4F57FA4}"/>
              </c:ext>
            </c:extLst>
          </c:dPt>
          <c:dPt>
            <c:idx val="1"/>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3-28EC-4C8B-989A-7215D4F57FA4}"/>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28EC-4C8B-989A-7215D4F57FA4}"/>
              </c:ext>
            </c:extLst>
          </c:dPt>
          <c:dPt>
            <c:idx val="3"/>
            <c:invertIfNegative val="0"/>
            <c:bubble3D val="0"/>
            <c:spPr>
              <a:solidFill>
                <a:schemeClr val="accent1">
                  <a:lumMod val="75000"/>
                </a:schemeClr>
              </a:solidFill>
              <a:ln>
                <a:noFill/>
              </a:ln>
              <a:effectLst/>
            </c:spPr>
            <c:extLst>
              <c:ext xmlns:c16="http://schemas.microsoft.com/office/drawing/2014/chart" uri="{C3380CC4-5D6E-409C-BE32-E72D297353CC}">
                <c16:uniqueId val="{00000007-28EC-4C8B-989A-7215D4F57FA4}"/>
              </c:ext>
            </c:extLst>
          </c:dPt>
          <c:dPt>
            <c:idx val="4"/>
            <c:invertIfNegative val="0"/>
            <c:bubble3D val="0"/>
            <c:spPr>
              <a:solidFill>
                <a:schemeClr val="accent1">
                  <a:lumMod val="50000"/>
                </a:schemeClr>
              </a:solidFill>
              <a:ln>
                <a:noFill/>
              </a:ln>
              <a:effectLst/>
            </c:spPr>
            <c:extLst>
              <c:ext xmlns:c16="http://schemas.microsoft.com/office/drawing/2014/chart" uri="{C3380CC4-5D6E-409C-BE32-E72D297353CC}">
                <c16:uniqueId val="{00000009-28EC-4C8B-989A-7215D4F57F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PivotTables!$V$10:$V$15</c:f>
              <c:strCache>
                <c:ptCount val="5"/>
                <c:pt idx="0">
                  <c:v>Don Flintiff</c:v>
                </c:pt>
                <c:pt idx="1">
                  <c:v>Nealson Cuttler</c:v>
                </c:pt>
                <c:pt idx="2">
                  <c:v>Terri Farra</c:v>
                </c:pt>
                <c:pt idx="3">
                  <c:v>Brenn Dundredge</c:v>
                </c:pt>
                <c:pt idx="4">
                  <c:v>Allis Wilmore</c:v>
                </c:pt>
              </c:strCache>
            </c:strRef>
          </c:cat>
          <c:val>
            <c:numRef>
              <c:f>PivotTables!$W$10:$W$15</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28EC-4C8B-989A-7215D4F57FA4}"/>
            </c:ext>
          </c:extLst>
        </c:ser>
        <c:dLbls>
          <c:dLblPos val="outEnd"/>
          <c:showLegendKey val="0"/>
          <c:showVal val="1"/>
          <c:showCatName val="0"/>
          <c:showSerName val="0"/>
          <c:showPercent val="0"/>
          <c:showBubbleSize val="0"/>
        </c:dLbls>
        <c:gapWidth val="182"/>
        <c:axId val="1839522703"/>
        <c:axId val="1839514543"/>
      </c:barChart>
      <c:catAx>
        <c:axId val="183952270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solidFill>
                    <a:schemeClr val="tx1">
                      <a:lumMod val="95000"/>
                      <a:lumOff val="5000"/>
                      <a:alpha val="38000"/>
                    </a:schemeClr>
                  </a:solidFill>
                </a:ln>
                <a:solidFill>
                  <a:schemeClr val="tx1">
                    <a:lumMod val="95000"/>
                    <a:lumOff val="5000"/>
                  </a:schemeClr>
                </a:solidFill>
                <a:latin typeface="+mn-lt"/>
                <a:ea typeface="+mn-ea"/>
                <a:cs typeface="+mn-cs"/>
              </a:defRPr>
            </a:pPr>
            <a:endParaRPr lang="en-US"/>
          </a:p>
        </c:txPr>
        <c:crossAx val="1839514543"/>
        <c:crosses val="autoZero"/>
        <c:auto val="1"/>
        <c:lblAlgn val="ctr"/>
        <c:lblOffset val="100"/>
        <c:noMultiLvlLbl val="0"/>
      </c:catAx>
      <c:valAx>
        <c:axId val="1839514543"/>
        <c:scaling>
          <c:orientation val="minMax"/>
        </c:scaling>
        <c:delete val="0"/>
        <c:axPos val="b"/>
        <c:majorGridlines>
          <c:spPr>
            <a:ln w="12700" cap="flat" cmpd="sng" algn="ctr">
              <a:solidFill>
                <a:schemeClr val="bg1"/>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3952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453571</xdr:colOff>
      <xdr:row>3</xdr:row>
      <xdr:rowOff>90714</xdr:rowOff>
    </xdr:to>
    <xdr:sp macro="" textlink="">
      <xdr:nvSpPr>
        <xdr:cNvPr id="3" name="Rectangle 2">
          <a:extLst>
            <a:ext uri="{FF2B5EF4-FFF2-40B4-BE49-F238E27FC236}">
              <a16:creationId xmlns:a16="http://schemas.microsoft.com/office/drawing/2014/main" id="{9B63F1DB-6A81-11BA-0683-A310C21B35F0}"/>
            </a:ext>
          </a:extLst>
        </xdr:cNvPr>
        <xdr:cNvSpPr/>
      </xdr:nvSpPr>
      <xdr:spPr>
        <a:xfrm>
          <a:off x="0" y="0"/>
          <a:ext cx="10296071" cy="517071"/>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3600">
              <a:latin typeface="Aharoni" panose="020F0502020204030204" pitchFamily="2" charset="-79"/>
              <a:cs typeface="Aharoni" panose="020F0502020204030204" pitchFamily="2" charset="-79"/>
            </a:rPr>
            <a:t>Coffee Sales Dashboard</a:t>
          </a:r>
        </a:p>
      </xdr:txBody>
    </xdr:sp>
    <xdr:clientData/>
  </xdr:twoCellAnchor>
  <xdr:twoCellAnchor>
    <xdr:from>
      <xdr:col>0</xdr:col>
      <xdr:colOff>67129</xdr:colOff>
      <xdr:row>11</xdr:row>
      <xdr:rowOff>154214</xdr:rowOff>
    </xdr:from>
    <xdr:to>
      <xdr:col>8</xdr:col>
      <xdr:colOff>278547</xdr:colOff>
      <xdr:row>35</xdr:row>
      <xdr:rowOff>45358</xdr:rowOff>
    </xdr:to>
    <xdr:graphicFrame macro="">
      <xdr:nvGraphicFramePr>
        <xdr:cNvPr id="5" name="TotalSales Over Time">
          <a:extLst>
            <a:ext uri="{FF2B5EF4-FFF2-40B4-BE49-F238E27FC236}">
              <a16:creationId xmlns:a16="http://schemas.microsoft.com/office/drawing/2014/main" id="{B20FEC42-07DD-4299-9507-44B2888783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163286</xdr:rowOff>
    </xdr:from>
    <xdr:to>
      <xdr:col>10</xdr:col>
      <xdr:colOff>27214</xdr:colOff>
      <xdr:row>11</xdr:row>
      <xdr:rowOff>45356</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90A153F9-BEB8-4373-AB56-36260F071A05}"/>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602901"/>
              <a:ext cx="5595676" cy="136699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117177</xdr:colOff>
      <xdr:row>3</xdr:row>
      <xdr:rowOff>157842</xdr:rowOff>
    </xdr:from>
    <xdr:to>
      <xdr:col>17</xdr:col>
      <xdr:colOff>462643</xdr:colOff>
      <xdr:row>7</xdr:row>
      <xdr:rowOff>108857</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93C10C4F-4960-474B-BBE6-27ED44DDE98F}"/>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5685639" y="597457"/>
              <a:ext cx="4585312" cy="693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105579</xdr:colOff>
      <xdr:row>7</xdr:row>
      <xdr:rowOff>132690</xdr:rowOff>
    </xdr:from>
    <xdr:to>
      <xdr:col>14</xdr:col>
      <xdr:colOff>199572</xdr:colOff>
      <xdr:row>11</xdr:row>
      <xdr:rowOff>54427</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5DE17D9C-19CF-4C11-AB2D-148C84E0CCA3}"/>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5674041" y="1314767"/>
              <a:ext cx="2516762" cy="664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281214</xdr:colOff>
      <xdr:row>7</xdr:row>
      <xdr:rowOff>122197</xdr:rowOff>
    </xdr:from>
    <xdr:to>
      <xdr:col>17</xdr:col>
      <xdr:colOff>480786</xdr:colOff>
      <xdr:row>11</xdr:row>
      <xdr:rowOff>45358</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23FE86F3-907B-4A82-A4E4-CA857347D45B}"/>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8272445" y="1304274"/>
              <a:ext cx="2016649" cy="665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326571</xdr:colOff>
      <xdr:row>11</xdr:row>
      <xdr:rowOff>163285</xdr:rowOff>
    </xdr:from>
    <xdr:to>
      <xdr:col>17</xdr:col>
      <xdr:colOff>508000</xdr:colOff>
      <xdr:row>24</xdr:row>
      <xdr:rowOff>163287</xdr:rowOff>
    </xdr:to>
    <xdr:graphicFrame macro="">
      <xdr:nvGraphicFramePr>
        <xdr:cNvPr id="10" name="Chart 9">
          <a:extLst>
            <a:ext uri="{FF2B5EF4-FFF2-40B4-BE49-F238E27FC236}">
              <a16:creationId xmlns:a16="http://schemas.microsoft.com/office/drawing/2014/main" id="{C24B61BF-6F6B-498F-9250-C04353217F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326572</xdr:colOff>
      <xdr:row>25</xdr:row>
      <xdr:rowOff>45356</xdr:rowOff>
    </xdr:from>
    <xdr:to>
      <xdr:col>17</xdr:col>
      <xdr:colOff>489857</xdr:colOff>
      <xdr:row>35</xdr:row>
      <xdr:rowOff>54428</xdr:rowOff>
    </xdr:to>
    <xdr:graphicFrame macro="">
      <xdr:nvGraphicFramePr>
        <xdr:cNvPr id="11" name="Chart 10">
          <a:extLst>
            <a:ext uri="{FF2B5EF4-FFF2-40B4-BE49-F238E27FC236}">
              <a16:creationId xmlns:a16="http://schemas.microsoft.com/office/drawing/2014/main" id="{F0511672-1831-446F-96F6-93465DD22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Spectre" refreshedDate="46037.595659837963" createdVersion="8" refreshedVersion="8" minRefreshableVersion="3" recordCount="1000" xr:uid="{B95DAF53-67C9-40B8-9127-AC309C38C1FF}">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966910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017107-8063-417B-A78E-AD63E2E603DB}" name="Top 5 Customers"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V9:W15" firstHeaderRow="1" firstDataRow="1"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axis="axisRow"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7" showAll="0">
      <items count="5">
        <item x="3"/>
        <item x="1"/>
        <item x="0"/>
        <item x="2"/>
        <item t="default"/>
      </items>
    </pivotField>
    <pivotField numFmtId="44" showAll="0"/>
    <pivotField dataField="1" numFmtId="44"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5" baseItem="255" numFmtId="37"/>
  </dataFields>
  <chartFormats count="6">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5" count="1" selected="0">
            <x v="255"/>
          </reference>
        </references>
      </pivotArea>
    </chartFormat>
    <chartFormat chart="5" format="14">
      <pivotArea type="data" outline="0" fieldPosition="0">
        <references count="2">
          <reference field="4294967294" count="1" selected="0">
            <x v="0"/>
          </reference>
          <reference field="5" count="1" selected="0">
            <x v="646"/>
          </reference>
        </references>
      </pivotArea>
    </chartFormat>
    <chartFormat chart="5" format="15">
      <pivotArea type="data" outline="0" fieldPosition="0">
        <references count="2">
          <reference field="4294967294" count="1" selected="0">
            <x v="0"/>
          </reference>
          <reference field="5" count="1" selected="0">
            <x v="831"/>
          </reference>
        </references>
      </pivotArea>
    </chartFormat>
    <chartFormat chart="5" format="16">
      <pivotArea type="data" outline="0" fieldPosition="0">
        <references count="2">
          <reference field="4294967294" count="1" selected="0">
            <x v="0"/>
          </reference>
          <reference field="5" count="1" selected="0">
            <x v="125"/>
          </reference>
        </references>
      </pivotArea>
    </chartFormat>
    <chartFormat chart="5" format="17">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E77BF0-2C9F-4321-9D91-C0528198AB78}" name="Sales By country" cacheId="1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Q26:R30" firstHeaderRow="1" firstDataRow="1" firstDataCol="1"/>
  <pivotFields count="18">
    <pivotField showAll="0"/>
    <pivotField numFmtId="166"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a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7" showAll="0">
      <items count="5">
        <item x="3"/>
        <item x="1"/>
        <item x="0"/>
        <item x="2"/>
        <item t="default"/>
      </items>
    </pivotField>
    <pivotField numFmtId="44" showAll="0"/>
    <pivotField dataField="1" numFmtId="44" showAll="0"/>
    <pivotField showAll="0"/>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7" baseItem="0" numFmtId="5"/>
  </dataField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7" count="1" selected="0">
            <x v="1"/>
          </reference>
        </references>
      </pivotArea>
    </chartFormat>
    <chartFormat chart="3" format="10">
      <pivotArea type="data" outline="0" fieldPosition="0">
        <references count="2">
          <reference field="4294967294" count="1" selected="0">
            <x v="0"/>
          </reference>
          <reference field="7" count="1" selected="0">
            <x v="0"/>
          </reference>
        </references>
      </pivotArea>
    </chartFormat>
    <chartFormat chart="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D18E11-B86C-4C25-826E-9E78474E8C02}" name="Total_Sales" cacheId="19"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7">
  <location ref="A3:G49"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6" baseItem="1" numFmtId="37"/>
  </dataFields>
  <chartFormats count="4">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E3A0DA2-454D-473B-B88A-CED23BD2287B}" sourceName="Size">
  <pivotTables>
    <pivotTable tabId="18" name="Total_Sales"/>
    <pivotTable tabId="18" name="Sales By country"/>
    <pivotTable tabId="18" name="Top 5 Customers"/>
  </pivotTables>
  <data>
    <tabular pivotCacheId="196691065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A869AF2-FBC5-4E5B-BE98-30FB6E542521}" sourceName="Roast Type Name">
  <pivotTables>
    <pivotTable tabId="18" name="Total_Sales"/>
    <pivotTable tabId="18" name="Sales By country"/>
    <pivotTable tabId="18" name="Top 5 Customers"/>
  </pivotTables>
  <data>
    <tabular pivotCacheId="196691065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490BC9F-CB4E-48A5-83A8-70C4626E0F63}" sourceName="Loyalty Card">
  <pivotTables>
    <pivotTable tabId="18" name="Total_Sales"/>
    <pivotTable tabId="18" name="Sales By country"/>
    <pivotTable tabId="18" name="Top 5 Customers"/>
  </pivotTables>
  <data>
    <tabular pivotCacheId="196691065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5A1C8505-07F4-48EF-8F11-E297518B3F81}" cache="Slicer_Size" caption="Size" columnCount="4" style="Slicer Style 1" rowHeight="241300"/>
  <slicer name="Roast Type Name" xr10:uid="{BEA1897C-03B6-46AA-A565-72226ABF0A7E}" cache="Slicer_Roast_Type_Name" caption="Roast Type Name" columnCount="3" style="Slicer Style 1" rowHeight="241300"/>
  <slicer name="Loyalty Card" xr10:uid="{76022141-1A91-4187-AA5D-B303285746EA}" cache="Slicer_Loyalty_Card" caption="Loyalty Card"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AC91F1-F2F6-4F1D-A4A9-5498F433F325}" name="Orders" displayName="Orders" ref="A1:P1001" totalsRowShown="0" headerRowDxfId="11">
  <autoFilter ref="A1:P1001" xr:uid="{0EAC91F1-F2F6-4F1D-A4A9-5498F433F325}"/>
  <tableColumns count="16">
    <tableColumn id="1" xr3:uid="{96A95A3E-7C17-4B73-9A43-AD6C5C50B182}" name="Order ID" dataDxfId="22"/>
    <tableColumn id="2" xr3:uid="{C5247627-2EA8-47FF-805A-05DA48C43561}" name="Order Date" dataDxfId="21"/>
    <tableColumn id="3" xr3:uid="{54FD3C0B-1C51-4D88-8F74-61EC5D5FD395}" name="Customer ID" dataDxfId="20"/>
    <tableColumn id="4" xr3:uid="{F55E89B7-82D7-4A97-ACB1-74D973BBEF5B}" name="Product ID"/>
    <tableColumn id="5" xr3:uid="{F58F60E0-091E-4617-9CFC-29F2AADA4C26}" name="Quantity" dataDxfId="19"/>
    <tableColumn id="6" xr3:uid="{3071125C-0FE9-414E-8A7A-2759EB7F47AB}" name="Customer Name" dataDxfId="18">
      <calculatedColumnFormula>_xlfn.XLOOKUP(C2,customers!$A$1:$A$1001,customers!$B$1:$B$1001,,0)</calculatedColumnFormula>
    </tableColumn>
    <tableColumn id="7" xr3:uid="{AAEC2388-DFF8-4788-8219-B07D67E509AF}" name="Email" dataDxfId="17">
      <calculatedColumnFormula>IF(_xlfn.XLOOKUP(C2,customers!$A$1:$A$1001,customers!$C$1:$C$1001,,0)=0,"",_xlfn.XLOOKUP(C2,customers!$A$1:$A$1001,customers!$C$1:$C$1001,,0))</calculatedColumnFormula>
    </tableColumn>
    <tableColumn id="8" xr3:uid="{C28B3357-66E0-4E0D-A622-38E88EA7C227}" name="Country" dataDxfId="16">
      <calculatedColumnFormula>_xlfn.XLOOKUP(C2,customers!$A$1:$A$1001,customers!$G$1:$G$1001,,0)</calculatedColumnFormula>
    </tableColumn>
    <tableColumn id="9" xr3:uid="{65C22A5B-D636-4994-99A0-1BE7B0C5A916}" name="Coffee Type">
      <calculatedColumnFormula>_xlfn.XLOOKUP(D2,products!$A$1:$A$49,products!$B$1:$B$49,,0)</calculatedColumnFormula>
    </tableColumn>
    <tableColumn id="10" xr3:uid="{7E3CC555-1F5D-45BC-86B9-BA99087BDF8C}" name="Roast Type">
      <calculatedColumnFormula>_xlfn.XLOOKUP(D2,products!$A$1:$A$49,products!$C$1:$C$49,,0)</calculatedColumnFormula>
    </tableColumn>
    <tableColumn id="11" xr3:uid="{6A55A3E4-A17A-4F5C-9510-69E509947B36}" name="Size" dataDxfId="15">
      <calculatedColumnFormula>_xlfn.XLOOKUP(D2,products!$A$1:$A$49,products!$D$1:$D$49,,0)</calculatedColumnFormula>
    </tableColumn>
    <tableColumn id="12" xr3:uid="{17C75A75-463B-46BC-8AAC-F709805335A7}" name="Unit Price" dataDxfId="14" dataCellStyle="Currency">
      <calculatedColumnFormula>_xlfn.XLOOKUP(D2,products!$A$1:$A$49,products!$E$1:$E$49,,0)</calculatedColumnFormula>
    </tableColumn>
    <tableColumn id="13" xr3:uid="{00EFCED3-90A8-4310-A5FA-72459DA1D09A}" name="Sales" dataDxfId="13" dataCellStyle="Currency">
      <calculatedColumnFormula>L2*E2</calculatedColumnFormula>
    </tableColumn>
    <tableColumn id="14" xr3:uid="{4485FE0D-1C52-44B5-8D0B-2AB860505D10}" name="Coffee Type Name" dataDxfId="12">
      <calculatedColumnFormula array="1">_xlfn.SWITCH(I2,
"Rob","Robusta",
"Exc","Excelsa",
"Ara","Arabica",
"Lib","Liberica",
"")</calculatedColumnFormula>
    </tableColumn>
    <tableColumn id="15" xr3:uid="{2141C8A7-EA7A-40DC-9A47-920C61AD5FDA}" name="Roast Type Name">
      <calculatedColumnFormula array="1">_xlfn.SWITCH(J2,
"M","Medium",
"L","Light",
"D","Dark",
"")</calculatedColumnFormula>
    </tableColumn>
    <tableColumn id="16" xr3:uid="{A1378A16-903F-43DC-9A7B-E4D382B31C66}" name="Loyalty Card" dataDxfId="2">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BBACC51-4443-4F55-9AC5-EE7EB78904E8}" sourceName="Order Date">
  <pivotTables>
    <pivotTable tabId="18" name="Total_Sales"/>
    <pivotTable tabId="18" name="Sales By country"/>
    <pivotTable tabId="18" name="Top 5 Customers"/>
  </pivotTables>
  <state minimalRefreshVersion="6" lastRefreshVersion="6" pivotCacheId="196691065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7136810-60A9-4F50-9844-CAD376600737}" cache="NativeTimeline_Order_Date" caption="Order Date" level="2" selectionLevel="2" scrollPosition="2022-01-22T00:00:00" style="BT"/>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211BD-032E-46C6-940D-1DA472D4040F}">
  <dimension ref="A3:W49"/>
  <sheetViews>
    <sheetView topLeftCell="D14" zoomScale="85" zoomScaleNormal="85" workbookViewId="0">
      <selection activeCell="N27" sqref="N27"/>
    </sheetView>
  </sheetViews>
  <sheetFormatPr defaultRowHeight="14.5" x14ac:dyDescent="0.35"/>
  <cols>
    <col min="1" max="1" width="18.81640625" bestFit="1" customWidth="1"/>
    <col min="2" max="2" width="21.7265625" bestFit="1" customWidth="1"/>
    <col min="3" max="6" width="19.26953125" bestFit="1" customWidth="1"/>
    <col min="7" max="7" width="10.81640625" bestFit="1" customWidth="1"/>
    <col min="17" max="17" width="14.1796875" bestFit="1" customWidth="1"/>
    <col min="18" max="18" width="11.54296875" bestFit="1" customWidth="1"/>
    <col min="22" max="22" width="15.6328125" bestFit="1" customWidth="1"/>
    <col min="23" max="23" width="11.54296875" bestFit="1" customWidth="1"/>
  </cols>
  <sheetData>
    <row r="3" spans="1:23" x14ac:dyDescent="0.35">
      <c r="A3" s="10" t="s">
        <v>6198</v>
      </c>
      <c r="C3" s="10" t="s">
        <v>6196</v>
      </c>
    </row>
    <row r="4" spans="1:23" x14ac:dyDescent="0.35">
      <c r="A4" s="10" t="s">
        <v>6217</v>
      </c>
      <c r="B4" s="10" t="s">
        <v>6218</v>
      </c>
      <c r="C4" t="s">
        <v>6219</v>
      </c>
      <c r="D4" t="s">
        <v>6220</v>
      </c>
      <c r="E4" t="s">
        <v>6221</v>
      </c>
      <c r="F4" t="s">
        <v>6222</v>
      </c>
      <c r="G4" t="s">
        <v>6200</v>
      </c>
    </row>
    <row r="5" spans="1:23" x14ac:dyDescent="0.35">
      <c r="A5" t="s">
        <v>6201</v>
      </c>
      <c r="B5" t="s">
        <v>6205</v>
      </c>
      <c r="C5" s="12">
        <v>186.85499999999999</v>
      </c>
      <c r="D5" s="12">
        <v>305.97000000000003</v>
      </c>
      <c r="E5" s="12">
        <v>213.15999999999997</v>
      </c>
      <c r="F5" s="12">
        <v>123</v>
      </c>
      <c r="G5" s="12">
        <v>828.98500000000001</v>
      </c>
    </row>
    <row r="6" spans="1:23" x14ac:dyDescent="0.35">
      <c r="B6" t="s">
        <v>6206</v>
      </c>
      <c r="C6" s="12">
        <v>251.96499999999997</v>
      </c>
      <c r="D6" s="12">
        <v>129.46</v>
      </c>
      <c r="E6" s="12">
        <v>434.03999999999996</v>
      </c>
      <c r="F6" s="12">
        <v>171.93999999999997</v>
      </c>
      <c r="G6" s="12">
        <v>987.40499999999986</v>
      </c>
    </row>
    <row r="7" spans="1:23" x14ac:dyDescent="0.35">
      <c r="B7" t="s">
        <v>6207</v>
      </c>
      <c r="C7" s="12">
        <v>224.94499999999999</v>
      </c>
      <c r="D7" s="12">
        <v>349.12</v>
      </c>
      <c r="E7" s="12">
        <v>321.04000000000002</v>
      </c>
      <c r="F7" s="12">
        <v>126.035</v>
      </c>
      <c r="G7" s="12">
        <v>1021.14</v>
      </c>
    </row>
    <row r="8" spans="1:23" x14ac:dyDescent="0.35">
      <c r="B8" t="s">
        <v>6208</v>
      </c>
      <c r="C8" s="12">
        <v>307.12</v>
      </c>
      <c r="D8" s="12">
        <v>681.07499999999993</v>
      </c>
      <c r="E8" s="12">
        <v>533.70499999999993</v>
      </c>
      <c r="F8" s="12">
        <v>158.85</v>
      </c>
      <c r="G8" s="12">
        <v>1680.7499999999998</v>
      </c>
    </row>
    <row r="9" spans="1:23" x14ac:dyDescent="0.35">
      <c r="B9" t="s">
        <v>6209</v>
      </c>
      <c r="C9" s="12">
        <v>53.664999999999992</v>
      </c>
      <c r="D9" s="12">
        <v>83.025000000000006</v>
      </c>
      <c r="E9" s="12">
        <v>193.83499999999998</v>
      </c>
      <c r="F9" s="12">
        <v>68.039999999999992</v>
      </c>
      <c r="G9" s="12">
        <v>398.56499999999994</v>
      </c>
      <c r="V9" s="10" t="s">
        <v>6199</v>
      </c>
      <c r="W9" t="s">
        <v>6198</v>
      </c>
    </row>
    <row r="10" spans="1:23" x14ac:dyDescent="0.35">
      <c r="B10" t="s">
        <v>6210</v>
      </c>
      <c r="C10" s="12">
        <v>163.01999999999998</v>
      </c>
      <c r="D10" s="12">
        <v>678.3599999999999</v>
      </c>
      <c r="E10" s="12">
        <v>171.04500000000002</v>
      </c>
      <c r="F10" s="12">
        <v>372.255</v>
      </c>
      <c r="G10" s="12">
        <v>1384.6799999999998</v>
      </c>
      <c r="V10" s="11" t="s">
        <v>3753</v>
      </c>
      <c r="W10" s="12">
        <v>278.01</v>
      </c>
    </row>
    <row r="11" spans="1:23" x14ac:dyDescent="0.35">
      <c r="B11" t="s">
        <v>6211</v>
      </c>
      <c r="C11" s="12">
        <v>345.02</v>
      </c>
      <c r="D11" s="12">
        <v>273.86999999999995</v>
      </c>
      <c r="E11" s="12">
        <v>184.12999999999997</v>
      </c>
      <c r="F11" s="12">
        <v>201.11499999999998</v>
      </c>
      <c r="G11" s="12">
        <v>1004.1349999999999</v>
      </c>
      <c r="V11" s="11" t="s">
        <v>1598</v>
      </c>
      <c r="W11" s="12">
        <v>281.67499999999995</v>
      </c>
    </row>
    <row r="12" spans="1:23" x14ac:dyDescent="0.35">
      <c r="B12" t="s">
        <v>6212</v>
      </c>
      <c r="C12" s="12">
        <v>334.89</v>
      </c>
      <c r="D12" s="12">
        <v>70.95</v>
      </c>
      <c r="E12" s="12">
        <v>134.23000000000002</v>
      </c>
      <c r="F12" s="12">
        <v>166.27499999999998</v>
      </c>
      <c r="G12" s="12">
        <v>706.34499999999991</v>
      </c>
      <c r="V12" s="11" t="s">
        <v>2587</v>
      </c>
      <c r="W12" s="12">
        <v>289.11</v>
      </c>
    </row>
    <row r="13" spans="1:23" x14ac:dyDescent="0.35">
      <c r="B13" t="s">
        <v>6213</v>
      </c>
      <c r="C13" s="12">
        <v>178.70999999999998</v>
      </c>
      <c r="D13" s="12">
        <v>166.1</v>
      </c>
      <c r="E13" s="12">
        <v>439.30999999999995</v>
      </c>
      <c r="F13" s="12">
        <v>492.9</v>
      </c>
      <c r="G13" s="12">
        <v>1277.02</v>
      </c>
      <c r="V13" s="11" t="s">
        <v>5765</v>
      </c>
      <c r="W13" s="12">
        <v>307.04499999999996</v>
      </c>
    </row>
    <row r="14" spans="1:23" x14ac:dyDescent="0.35">
      <c r="B14" t="s">
        <v>6214</v>
      </c>
      <c r="C14" s="12">
        <v>301.98500000000001</v>
      </c>
      <c r="D14" s="12">
        <v>153.76499999999999</v>
      </c>
      <c r="E14" s="12">
        <v>215.55499999999998</v>
      </c>
      <c r="F14" s="12">
        <v>213.66499999999999</v>
      </c>
      <c r="G14" s="12">
        <v>884.96999999999991</v>
      </c>
      <c r="V14" s="11" t="s">
        <v>5114</v>
      </c>
      <c r="W14" s="12">
        <v>317.06999999999994</v>
      </c>
    </row>
    <row r="15" spans="1:23" x14ac:dyDescent="0.35">
      <c r="B15" t="s">
        <v>6215</v>
      </c>
      <c r="C15" s="12">
        <v>312.83499999999998</v>
      </c>
      <c r="D15" s="12">
        <v>63.249999999999993</v>
      </c>
      <c r="E15" s="12">
        <v>350.89500000000004</v>
      </c>
      <c r="F15" s="12">
        <v>96.405000000000001</v>
      </c>
      <c r="G15" s="12">
        <v>823.38499999999999</v>
      </c>
      <c r="V15" s="11" t="s">
        <v>6200</v>
      </c>
      <c r="W15" s="12">
        <v>1472.9099999999999</v>
      </c>
    </row>
    <row r="16" spans="1:23" x14ac:dyDescent="0.35">
      <c r="B16" t="s">
        <v>6216</v>
      </c>
      <c r="C16" s="12">
        <v>265.62</v>
      </c>
      <c r="D16" s="12">
        <v>526.51499999999987</v>
      </c>
      <c r="E16" s="12">
        <v>187.06</v>
      </c>
      <c r="F16" s="12">
        <v>210.58999999999997</v>
      </c>
      <c r="G16" s="12">
        <v>1189.7849999999999</v>
      </c>
    </row>
    <row r="17" spans="1:18" x14ac:dyDescent="0.35">
      <c r="A17" t="s">
        <v>6202</v>
      </c>
      <c r="B17" t="s">
        <v>6205</v>
      </c>
      <c r="C17" s="12">
        <v>47.25</v>
      </c>
      <c r="D17" s="12">
        <v>65.805000000000007</v>
      </c>
      <c r="E17" s="12">
        <v>274.67500000000001</v>
      </c>
      <c r="F17" s="12">
        <v>179.22</v>
      </c>
      <c r="G17" s="12">
        <v>566.95000000000005</v>
      </c>
    </row>
    <row r="18" spans="1:18" x14ac:dyDescent="0.35">
      <c r="B18" t="s">
        <v>6206</v>
      </c>
      <c r="C18" s="12">
        <v>745.44999999999993</v>
      </c>
      <c r="D18" s="12">
        <v>428.88499999999999</v>
      </c>
      <c r="E18" s="12">
        <v>194.17499999999998</v>
      </c>
      <c r="F18" s="12">
        <v>429.82999999999993</v>
      </c>
      <c r="G18" s="12">
        <v>1798.34</v>
      </c>
    </row>
    <row r="19" spans="1:18" x14ac:dyDescent="0.35">
      <c r="B19" t="s">
        <v>6207</v>
      </c>
      <c r="C19" s="12">
        <v>130.47</v>
      </c>
      <c r="D19" s="12">
        <v>271.48500000000001</v>
      </c>
      <c r="E19" s="12">
        <v>281.20499999999998</v>
      </c>
      <c r="F19" s="12">
        <v>231.63000000000002</v>
      </c>
      <c r="G19" s="12">
        <v>914.79000000000008</v>
      </c>
    </row>
    <row r="20" spans="1:18" x14ac:dyDescent="0.35">
      <c r="B20" t="s">
        <v>6208</v>
      </c>
      <c r="C20" s="12">
        <v>27</v>
      </c>
      <c r="D20" s="12">
        <v>347.26</v>
      </c>
      <c r="E20" s="12">
        <v>147.51</v>
      </c>
      <c r="F20" s="12">
        <v>240.04</v>
      </c>
      <c r="G20" s="12">
        <v>761.81</v>
      </c>
    </row>
    <row r="21" spans="1:18" x14ac:dyDescent="0.35">
      <c r="B21" t="s">
        <v>6209</v>
      </c>
      <c r="C21" s="12">
        <v>255.11499999999995</v>
      </c>
      <c r="D21" s="12">
        <v>541.73</v>
      </c>
      <c r="E21" s="12">
        <v>83.43</v>
      </c>
      <c r="F21" s="12">
        <v>59.079999999999991</v>
      </c>
      <c r="G21" s="12">
        <v>939.35500000000013</v>
      </c>
    </row>
    <row r="22" spans="1:18" x14ac:dyDescent="0.35">
      <c r="B22" t="s">
        <v>6210</v>
      </c>
      <c r="C22" s="12">
        <v>584.78999999999985</v>
      </c>
      <c r="D22" s="12">
        <v>357.42999999999995</v>
      </c>
      <c r="E22" s="12">
        <v>355.34</v>
      </c>
      <c r="F22" s="12">
        <v>140.88</v>
      </c>
      <c r="G22" s="12">
        <v>1438.4399999999996</v>
      </c>
    </row>
    <row r="23" spans="1:18" x14ac:dyDescent="0.35">
      <c r="B23" t="s">
        <v>6211</v>
      </c>
      <c r="C23" s="12">
        <v>430.62</v>
      </c>
      <c r="D23" s="12">
        <v>227.42500000000001</v>
      </c>
      <c r="E23" s="12">
        <v>236.315</v>
      </c>
      <c r="F23" s="12">
        <v>414.58499999999992</v>
      </c>
      <c r="G23" s="12">
        <v>1308.9450000000002</v>
      </c>
    </row>
    <row r="24" spans="1:18" x14ac:dyDescent="0.35">
      <c r="B24" t="s">
        <v>6212</v>
      </c>
      <c r="C24" s="12">
        <v>22.5</v>
      </c>
      <c r="D24" s="12">
        <v>77.72</v>
      </c>
      <c r="E24" s="12">
        <v>60.5</v>
      </c>
      <c r="F24" s="12">
        <v>139.67999999999998</v>
      </c>
      <c r="G24" s="12">
        <v>300.39999999999998</v>
      </c>
    </row>
    <row r="25" spans="1:18" x14ac:dyDescent="0.35">
      <c r="B25" t="s">
        <v>6213</v>
      </c>
      <c r="C25" s="12">
        <v>126.14999999999999</v>
      </c>
      <c r="D25" s="12">
        <v>195.11</v>
      </c>
      <c r="E25" s="12">
        <v>89.13</v>
      </c>
      <c r="F25" s="12">
        <v>302.65999999999997</v>
      </c>
      <c r="G25" s="12">
        <v>713.05</v>
      </c>
    </row>
    <row r="26" spans="1:18" x14ac:dyDescent="0.35">
      <c r="B26" t="s">
        <v>6214</v>
      </c>
      <c r="C26" s="12">
        <v>376.03</v>
      </c>
      <c r="D26" s="12">
        <v>523.24</v>
      </c>
      <c r="E26" s="12">
        <v>440.96499999999997</v>
      </c>
      <c r="F26" s="12">
        <v>174.46999999999997</v>
      </c>
      <c r="G26" s="12">
        <v>1514.7049999999999</v>
      </c>
      <c r="Q26" s="10" t="s">
        <v>6199</v>
      </c>
      <c r="R26" t="s">
        <v>6198</v>
      </c>
    </row>
    <row r="27" spans="1:18" x14ac:dyDescent="0.35">
      <c r="B27" t="s">
        <v>6215</v>
      </c>
      <c r="C27" s="12">
        <v>515.17999999999995</v>
      </c>
      <c r="D27" s="12">
        <v>142.56</v>
      </c>
      <c r="E27" s="12">
        <v>347.03999999999996</v>
      </c>
      <c r="F27" s="12">
        <v>104.08499999999999</v>
      </c>
      <c r="G27" s="12">
        <v>1108.865</v>
      </c>
      <c r="Q27" s="11" t="s">
        <v>28</v>
      </c>
      <c r="R27" s="13">
        <v>2798.5050000000001</v>
      </c>
    </row>
    <row r="28" spans="1:18" x14ac:dyDescent="0.35">
      <c r="B28" t="s">
        <v>6216</v>
      </c>
      <c r="C28" s="12">
        <v>95.859999999999985</v>
      </c>
      <c r="D28" s="12">
        <v>484.76</v>
      </c>
      <c r="E28" s="12">
        <v>94.17</v>
      </c>
      <c r="F28" s="12">
        <v>77.10499999999999</v>
      </c>
      <c r="G28" s="12">
        <v>751.89499999999998</v>
      </c>
      <c r="Q28" s="11" t="s">
        <v>318</v>
      </c>
      <c r="R28" s="13">
        <v>6696.8649999999989</v>
      </c>
    </row>
    <row r="29" spans="1:18" x14ac:dyDescent="0.35">
      <c r="A29" t="s">
        <v>6203</v>
      </c>
      <c r="B29" t="s">
        <v>6205</v>
      </c>
      <c r="C29" s="12">
        <v>258.34500000000003</v>
      </c>
      <c r="D29" s="12">
        <v>139.625</v>
      </c>
      <c r="E29" s="12">
        <v>279.52000000000004</v>
      </c>
      <c r="F29" s="12">
        <v>160.19499999999999</v>
      </c>
      <c r="G29" s="12">
        <v>837.68499999999995</v>
      </c>
      <c r="Q29" s="11" t="s">
        <v>19</v>
      </c>
      <c r="R29" s="13">
        <v>35638.88499999998</v>
      </c>
    </row>
    <row r="30" spans="1:18" x14ac:dyDescent="0.35">
      <c r="B30" t="s">
        <v>6206</v>
      </c>
      <c r="C30" s="12">
        <v>342.2</v>
      </c>
      <c r="D30" s="12">
        <v>284.24999999999994</v>
      </c>
      <c r="E30" s="12">
        <v>251.83</v>
      </c>
      <c r="F30" s="12">
        <v>80.550000000000011</v>
      </c>
      <c r="G30" s="12">
        <v>958.82999999999993</v>
      </c>
      <c r="Q30" s="11" t="s">
        <v>6200</v>
      </c>
      <c r="R30" s="13">
        <v>45134.254999999976</v>
      </c>
    </row>
    <row r="31" spans="1:18" x14ac:dyDescent="0.35">
      <c r="B31" t="s">
        <v>6207</v>
      </c>
      <c r="C31" s="12">
        <v>418.30499999999989</v>
      </c>
      <c r="D31" s="12">
        <v>468.125</v>
      </c>
      <c r="E31" s="12">
        <v>405.05500000000006</v>
      </c>
      <c r="F31" s="12">
        <v>253.15499999999997</v>
      </c>
      <c r="G31" s="12">
        <v>1544.6399999999999</v>
      </c>
    </row>
    <row r="32" spans="1:18" x14ac:dyDescent="0.35">
      <c r="B32" t="s">
        <v>6208</v>
      </c>
      <c r="C32" s="12">
        <v>102.32999999999998</v>
      </c>
      <c r="D32" s="12">
        <v>242.14000000000001</v>
      </c>
      <c r="E32" s="12">
        <v>554.875</v>
      </c>
      <c r="F32" s="12">
        <v>106.23999999999998</v>
      </c>
      <c r="G32" s="12">
        <v>1005.585</v>
      </c>
    </row>
    <row r="33" spans="1:7" x14ac:dyDescent="0.35">
      <c r="B33" t="s">
        <v>6209</v>
      </c>
      <c r="C33" s="12">
        <v>234.71999999999997</v>
      </c>
      <c r="D33" s="12">
        <v>133.08000000000001</v>
      </c>
      <c r="E33" s="12">
        <v>267.2</v>
      </c>
      <c r="F33" s="12">
        <v>272.68999999999994</v>
      </c>
      <c r="G33" s="12">
        <v>907.68999999999994</v>
      </c>
    </row>
    <row r="34" spans="1:7" x14ac:dyDescent="0.35">
      <c r="B34" t="s">
        <v>6210</v>
      </c>
      <c r="C34" s="12">
        <v>430.39</v>
      </c>
      <c r="D34" s="12">
        <v>136.20500000000001</v>
      </c>
      <c r="E34" s="12">
        <v>209.6</v>
      </c>
      <c r="F34" s="12">
        <v>88.334999999999994</v>
      </c>
      <c r="G34" s="12">
        <v>864.53000000000009</v>
      </c>
    </row>
    <row r="35" spans="1:7" x14ac:dyDescent="0.35">
      <c r="B35" t="s">
        <v>6211</v>
      </c>
      <c r="C35" s="12">
        <v>109.005</v>
      </c>
      <c r="D35" s="12">
        <v>393.57499999999999</v>
      </c>
      <c r="E35" s="12">
        <v>61.034999999999997</v>
      </c>
      <c r="F35" s="12">
        <v>199.48999999999998</v>
      </c>
      <c r="G35" s="12">
        <v>763.10500000000002</v>
      </c>
    </row>
    <row r="36" spans="1:7" x14ac:dyDescent="0.35">
      <c r="B36" t="s">
        <v>6212</v>
      </c>
      <c r="C36" s="12">
        <v>287.52499999999998</v>
      </c>
      <c r="D36" s="12">
        <v>288.67</v>
      </c>
      <c r="E36" s="12">
        <v>125.58</v>
      </c>
      <c r="F36" s="12">
        <v>374.13499999999999</v>
      </c>
      <c r="G36" s="12">
        <v>1075.9099999999999</v>
      </c>
    </row>
    <row r="37" spans="1:7" x14ac:dyDescent="0.35">
      <c r="B37" t="s">
        <v>6213</v>
      </c>
      <c r="C37" s="12">
        <v>840.92999999999984</v>
      </c>
      <c r="D37" s="12">
        <v>409.875</v>
      </c>
      <c r="E37" s="12">
        <v>171.32999999999998</v>
      </c>
      <c r="F37" s="12">
        <v>221.43999999999997</v>
      </c>
      <c r="G37" s="12">
        <v>1643.5749999999998</v>
      </c>
    </row>
    <row r="38" spans="1:7" x14ac:dyDescent="0.35">
      <c r="B38" t="s">
        <v>6214</v>
      </c>
      <c r="C38" s="12">
        <v>299.07</v>
      </c>
      <c r="D38" s="12">
        <v>260.32499999999999</v>
      </c>
      <c r="E38" s="12">
        <v>584.64</v>
      </c>
      <c r="F38" s="12">
        <v>256.36500000000001</v>
      </c>
      <c r="G38" s="12">
        <v>1400.3999999999999</v>
      </c>
    </row>
    <row r="39" spans="1:7" x14ac:dyDescent="0.35">
      <c r="B39" t="s">
        <v>6215</v>
      </c>
      <c r="C39" s="12">
        <v>323.32499999999999</v>
      </c>
      <c r="D39" s="12">
        <v>565.57000000000005</v>
      </c>
      <c r="E39" s="12">
        <v>537.80999999999995</v>
      </c>
      <c r="F39" s="12">
        <v>189.47499999999999</v>
      </c>
      <c r="G39" s="12">
        <v>1616.1799999999998</v>
      </c>
    </row>
    <row r="40" spans="1:7" x14ac:dyDescent="0.35">
      <c r="B40" t="s">
        <v>6216</v>
      </c>
      <c r="C40" s="12">
        <v>399.48499999999996</v>
      </c>
      <c r="D40" s="12">
        <v>148.19999999999999</v>
      </c>
      <c r="E40" s="12">
        <v>388.21999999999997</v>
      </c>
      <c r="F40" s="12">
        <v>212.07499999999999</v>
      </c>
      <c r="G40" s="12">
        <v>1147.98</v>
      </c>
    </row>
    <row r="41" spans="1:7" x14ac:dyDescent="0.35">
      <c r="A41" t="s">
        <v>6204</v>
      </c>
      <c r="B41" t="s">
        <v>6205</v>
      </c>
      <c r="C41" s="12">
        <v>112.69499999999999</v>
      </c>
      <c r="D41" s="12">
        <v>166.32</v>
      </c>
      <c r="E41" s="12">
        <v>843.71499999999992</v>
      </c>
      <c r="F41" s="12">
        <v>146.685</v>
      </c>
      <c r="G41" s="12">
        <v>1269.415</v>
      </c>
    </row>
    <row r="42" spans="1:7" x14ac:dyDescent="0.35">
      <c r="B42" t="s">
        <v>6206</v>
      </c>
      <c r="C42" s="12">
        <v>114.87999999999998</v>
      </c>
      <c r="D42" s="12">
        <v>133.815</v>
      </c>
      <c r="E42" s="12">
        <v>91.175000000000011</v>
      </c>
      <c r="F42" s="12">
        <v>53.759999999999991</v>
      </c>
      <c r="G42" s="12">
        <v>393.63</v>
      </c>
    </row>
    <row r="43" spans="1:7" x14ac:dyDescent="0.35">
      <c r="B43" t="s">
        <v>6207</v>
      </c>
      <c r="C43" s="12">
        <v>277.76</v>
      </c>
      <c r="D43" s="12">
        <v>175.41</v>
      </c>
      <c r="E43" s="12">
        <v>462.50999999999993</v>
      </c>
      <c r="F43" s="12">
        <v>399.52499999999998</v>
      </c>
      <c r="G43" s="12">
        <v>1315.2049999999999</v>
      </c>
    </row>
    <row r="44" spans="1:7" x14ac:dyDescent="0.35">
      <c r="B44" t="s">
        <v>6208</v>
      </c>
      <c r="C44" s="12">
        <v>197.89499999999998</v>
      </c>
      <c r="D44" s="12">
        <v>289.755</v>
      </c>
      <c r="E44" s="12">
        <v>88.545000000000002</v>
      </c>
      <c r="F44" s="12">
        <v>200.25499999999997</v>
      </c>
      <c r="G44" s="12">
        <v>776.44999999999993</v>
      </c>
    </row>
    <row r="45" spans="1:7" x14ac:dyDescent="0.35">
      <c r="B45" t="s">
        <v>6209</v>
      </c>
      <c r="C45" s="12">
        <v>193.11499999999998</v>
      </c>
      <c r="D45" s="12">
        <v>212.49499999999998</v>
      </c>
      <c r="E45" s="12">
        <v>292.29000000000002</v>
      </c>
      <c r="F45" s="12">
        <v>304.46999999999997</v>
      </c>
      <c r="G45" s="12">
        <v>1002.3699999999999</v>
      </c>
    </row>
    <row r="46" spans="1:7" x14ac:dyDescent="0.35">
      <c r="B46" t="s">
        <v>6210</v>
      </c>
      <c r="C46" s="12">
        <v>179.79</v>
      </c>
      <c r="D46" s="12">
        <v>426.2</v>
      </c>
      <c r="E46" s="12">
        <v>170.08999999999997</v>
      </c>
      <c r="F46" s="12">
        <v>379.31</v>
      </c>
      <c r="G46" s="12">
        <v>1155.3899999999999</v>
      </c>
    </row>
    <row r="47" spans="1:7" x14ac:dyDescent="0.35">
      <c r="B47" t="s">
        <v>6211</v>
      </c>
      <c r="C47" s="12">
        <v>247.28999999999996</v>
      </c>
      <c r="D47" s="12">
        <v>246.685</v>
      </c>
      <c r="E47" s="12">
        <v>271.05499999999995</v>
      </c>
      <c r="F47" s="12">
        <v>141.69999999999999</v>
      </c>
      <c r="G47" s="12">
        <v>906.73</v>
      </c>
    </row>
    <row r="48" spans="1:7" x14ac:dyDescent="0.35">
      <c r="B48" t="s">
        <v>6212</v>
      </c>
      <c r="C48" s="12">
        <v>116.39499999999998</v>
      </c>
      <c r="D48" s="12">
        <v>41.25</v>
      </c>
      <c r="E48" s="12">
        <v>15.54</v>
      </c>
      <c r="F48" s="12">
        <v>71.06</v>
      </c>
      <c r="G48" s="12">
        <v>244.24499999999998</v>
      </c>
    </row>
    <row r="49" spans="1:7" x14ac:dyDescent="0.35">
      <c r="A49" t="s">
        <v>6200</v>
      </c>
      <c r="C49" s="12">
        <v>11768.495000000003</v>
      </c>
      <c r="D49" s="12">
        <v>12306.440000000002</v>
      </c>
      <c r="E49" s="12">
        <v>12054.075000000003</v>
      </c>
      <c r="F49" s="12">
        <v>9005.244999999999</v>
      </c>
      <c r="G49" s="12">
        <v>45134.255000000005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7F5D8-7913-4743-85A9-A79C10B3888C}">
  <dimension ref="A1"/>
  <sheetViews>
    <sheetView showGridLines="0" tabSelected="1" zoomScale="65" zoomScaleNormal="70" workbookViewId="0">
      <selection activeCell="S15" sqref="S15"/>
    </sheetView>
  </sheetViews>
  <sheetFormatPr defaultRowHeight="14.5" x14ac:dyDescent="0.35"/>
  <cols>
    <col min="1" max="1" width="1.6328125" customWidth="1"/>
  </cols>
  <sheetData>
    <row r="1" s="14" customFormat="1" ht="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C11" sqref="C11"/>
    </sheetView>
  </sheetViews>
  <sheetFormatPr defaultRowHeight="14.5" x14ac:dyDescent="0.35"/>
  <cols>
    <col min="1" max="1" width="15.1796875" bestFit="1" customWidth="1"/>
    <col min="2" max="2" width="11.81640625" style="5" bestFit="1" customWidth="1"/>
    <col min="3" max="3" width="16" bestFit="1" customWidth="1"/>
    <col min="4" max="4" width="11.08984375" customWidth="1"/>
    <col min="5" max="5" width="9.6328125" customWidth="1"/>
    <col min="6" max="6" width="22.1796875" bestFit="1" customWidth="1"/>
    <col min="7" max="7" width="36.1796875" bestFit="1" customWidth="1"/>
    <col min="8" max="8" width="14.1796875" bestFit="1" customWidth="1"/>
    <col min="9" max="9" width="12.26953125" customWidth="1"/>
    <col min="10" max="10" width="11.453125" customWidth="1"/>
    <col min="11" max="11" width="5.7265625" style="7" bestFit="1" customWidth="1"/>
    <col min="12" max="12" width="11.7265625" customWidth="1"/>
    <col min="13" max="13" width="8.81640625" bestFit="1" customWidth="1"/>
    <col min="14" max="14" width="17.54296875" customWidth="1"/>
    <col min="15" max="15" width="16.7265625" customWidth="1"/>
    <col min="16" max="16" width="13.36328125" bestFit="1" customWidth="1"/>
  </cols>
  <sheetData>
    <row r="1" spans="1:16" x14ac:dyDescent="0.35">
      <c r="A1" s="2" t="s">
        <v>0</v>
      </c>
      <c r="B1" s="4" t="s">
        <v>1</v>
      </c>
      <c r="C1" s="2" t="s">
        <v>3</v>
      </c>
      <c r="D1" s="2" t="s">
        <v>11</v>
      </c>
      <c r="E1" s="2" t="s">
        <v>14</v>
      </c>
      <c r="F1" s="2" t="s">
        <v>4</v>
      </c>
      <c r="G1" s="2" t="s">
        <v>2</v>
      </c>
      <c r="H1" s="2" t="s">
        <v>7</v>
      </c>
      <c r="I1" s="2" t="s">
        <v>9</v>
      </c>
      <c r="J1" s="2" t="s">
        <v>10</v>
      </c>
      <c r="K1" s="6" t="s">
        <v>12</v>
      </c>
      <c r="L1" s="8" t="s">
        <v>13</v>
      </c>
      <c r="M1" s="8" t="s">
        <v>15</v>
      </c>
      <c r="N1" s="2" t="s">
        <v>6196</v>
      </c>
      <c r="O1" s="2" t="s">
        <v>6197</v>
      </c>
      <c r="P1" s="2" t="s">
        <v>6189</v>
      </c>
    </row>
    <row r="2" spans="1:16" x14ac:dyDescent="0.35">
      <c r="A2" s="2" t="s">
        <v>490</v>
      </c>
      <c r="B2" s="4">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_xlfn.XLOOKUP(D2,products!$A$1:$A$49,products!$B$1:$B$49,,0)</f>
        <v>Rob</v>
      </c>
      <c r="J2" t="str">
        <f>_xlfn.XLOOKUP(D2,products!$A$1:$A$49,products!$C$1:$C$49,,0)</f>
        <v>M</v>
      </c>
      <c r="K2" s="7">
        <f>_xlfn.XLOOKUP(D2,products!$A$1:$A$49,products!$D$1:$D$49,,0)</f>
        <v>1</v>
      </c>
      <c r="L2" s="9">
        <f>_xlfn.XLOOKUP(D2,products!$A$1:$A$49,products!$E$1:$E$49,,0)</f>
        <v>9.9499999999999993</v>
      </c>
      <c r="M2" s="9">
        <f>L2*E2</f>
        <v>19.899999999999999</v>
      </c>
      <c r="N2" s="3" t="str" cm="1">
        <f t="array" ref="N2">_xlfn.SWITCH(I2,
"Rob","Robusta",
"Exc","Excelsa",
"Ara","Arabica",
"Lib","Liberica",
"")</f>
        <v>Robusta</v>
      </c>
      <c r="O2" t="str" cm="1">
        <f t="array" ref="O2">_xlfn.SWITCH(J2,
"M","Medium",
"L","Light",
"D","Dark",
"")</f>
        <v>Medium</v>
      </c>
      <c r="P2" t="str">
        <f>_xlfn.XLOOKUP(Orders[[#This Row],[Customer ID]],customers!$A$1:$A$1001,customers!$I$1:$I$1001,,0)</f>
        <v>Yes</v>
      </c>
    </row>
    <row r="3" spans="1:16" x14ac:dyDescent="0.35">
      <c r="A3" s="2" t="s">
        <v>490</v>
      </c>
      <c r="B3" s="4">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_xlfn.XLOOKUP(D3,products!$A$1:$A$49,products!$B$1:$B$49,,0)</f>
        <v>Exc</v>
      </c>
      <c r="J3" t="str">
        <f>_xlfn.XLOOKUP(D3,products!$A$1:$A$49,products!$C$1:$C$49,,0)</f>
        <v>M</v>
      </c>
      <c r="K3" s="7">
        <f>_xlfn.XLOOKUP(D3,products!$A$1:$A$49,products!$D$1:$D$49,,0)</f>
        <v>0.5</v>
      </c>
      <c r="L3" s="9">
        <f>_xlfn.XLOOKUP(D3,products!$A$1:$A$49,products!$E$1:$E$49,,0)</f>
        <v>8.25</v>
      </c>
      <c r="M3" s="9">
        <f t="shared" ref="M3:M66" si="0">L3*E3</f>
        <v>41.25</v>
      </c>
      <c r="N3" s="3" t="str" cm="1">
        <f t="array" ref="N3">_xlfn.SWITCH(I3,
"Rob","Robusta",
"Exc","Excelsa",
"Ara","Arabica",
"Lib","Liberica",
"")</f>
        <v>Excelsa</v>
      </c>
      <c r="O3" t="str" cm="1">
        <f t="array" ref="O3">_xlfn.SWITCH(J3,
"M","Medium",
"L","Light",
"D","Dark",
"")</f>
        <v>Medium</v>
      </c>
      <c r="P3" t="str">
        <f>_xlfn.XLOOKUP(Orders[[#This Row],[Customer ID]],customers!$A$1:$A$1001,customers!$I$1:$I$1001,,0)</f>
        <v>Yes</v>
      </c>
    </row>
    <row r="4" spans="1:16" x14ac:dyDescent="0.35">
      <c r="A4" s="2" t="s">
        <v>501</v>
      </c>
      <c r="B4" s="4">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_xlfn.XLOOKUP(D4,products!$A$1:$A$49,products!$B$1:$B$49,,0)</f>
        <v>Ara</v>
      </c>
      <c r="J4" t="str">
        <f>_xlfn.XLOOKUP(D4,products!$A$1:$A$49,products!$C$1:$C$49,,0)</f>
        <v>L</v>
      </c>
      <c r="K4" s="7">
        <f>_xlfn.XLOOKUP(D4,products!$A$1:$A$49,products!$D$1:$D$49,,0)</f>
        <v>1</v>
      </c>
      <c r="L4" s="9">
        <f>_xlfn.XLOOKUP(D4,products!$A$1:$A$49,products!$E$1:$E$49,,0)</f>
        <v>12.95</v>
      </c>
      <c r="M4" s="9">
        <f t="shared" si="0"/>
        <v>12.95</v>
      </c>
      <c r="N4" s="3" t="str" cm="1">
        <f t="array" ref="N4">_xlfn.SWITCH(I4,
"Rob","Robusta",
"Exc","Excelsa",
"Ara","Arabica",
"Lib","Liberica",
"")</f>
        <v>Arabica</v>
      </c>
      <c r="O4" t="str" cm="1">
        <f t="array" ref="O4">_xlfn.SWITCH(J4,
"M","Medium",
"L","Light",
"D","Dark",
"")</f>
        <v>Light</v>
      </c>
      <c r="P4" t="str">
        <f>_xlfn.XLOOKUP(Orders[[#This Row],[Customer ID]],customers!$A$1:$A$1001,customers!$I$1:$I$1001,,0)</f>
        <v>Yes</v>
      </c>
    </row>
    <row r="5" spans="1:16" x14ac:dyDescent="0.35">
      <c r="A5" s="2" t="s">
        <v>512</v>
      </c>
      <c r="B5" s="4">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_xlfn.XLOOKUP(D5,products!$A$1:$A$49,products!$B$1:$B$49,,0)</f>
        <v>Exc</v>
      </c>
      <c r="J5" t="str">
        <f>_xlfn.XLOOKUP(D5,products!$A$1:$A$49,products!$C$1:$C$49,,0)</f>
        <v>M</v>
      </c>
      <c r="K5" s="7">
        <f>_xlfn.XLOOKUP(D5,products!$A$1:$A$49,products!$D$1:$D$49,,0)</f>
        <v>1</v>
      </c>
      <c r="L5" s="9">
        <f>_xlfn.XLOOKUP(D5,products!$A$1:$A$49,products!$E$1:$E$49,,0)</f>
        <v>13.75</v>
      </c>
      <c r="M5" s="9">
        <f t="shared" si="0"/>
        <v>27.5</v>
      </c>
      <c r="N5" s="3" t="str" cm="1">
        <f t="array" ref="N5">_xlfn.SWITCH(I5,
"Rob","Robusta",
"Exc","Excelsa",
"Ara","Arabica",
"Lib","Liberica",
"")</f>
        <v>Excelsa</v>
      </c>
      <c r="O5" t="str" cm="1">
        <f t="array" ref="O5">_xlfn.SWITCH(J5,
"M","Medium",
"L","Light",
"D","Dark",
"")</f>
        <v>Medium</v>
      </c>
      <c r="P5" t="str">
        <f>_xlfn.XLOOKUP(Orders[[#This Row],[Customer ID]],customers!$A$1:$A$1001,customers!$I$1:$I$1001,,0)</f>
        <v>No</v>
      </c>
    </row>
    <row r="6" spans="1:16" x14ac:dyDescent="0.35">
      <c r="A6" s="2" t="s">
        <v>512</v>
      </c>
      <c r="B6" s="4">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_xlfn.XLOOKUP(D6,products!$A$1:$A$49,products!$B$1:$B$49,,0)</f>
        <v>Rob</v>
      </c>
      <c r="J6" t="str">
        <f>_xlfn.XLOOKUP(D6,products!$A$1:$A$49,products!$C$1:$C$49,,0)</f>
        <v>L</v>
      </c>
      <c r="K6" s="7">
        <f>_xlfn.XLOOKUP(D6,products!$A$1:$A$49,products!$D$1:$D$49,,0)</f>
        <v>2.5</v>
      </c>
      <c r="L6" s="9">
        <f>_xlfn.XLOOKUP(D6,products!$A$1:$A$49,products!$E$1:$E$49,,0)</f>
        <v>27.484999999999996</v>
      </c>
      <c r="M6" s="9">
        <f t="shared" si="0"/>
        <v>54.969999999999992</v>
      </c>
      <c r="N6" s="3" t="str" cm="1">
        <f t="array" ref="N6">_xlfn.SWITCH(I6,
"Rob","Robusta",
"Exc","Excelsa",
"Ara","Arabica",
"Lib","Liberica",
"")</f>
        <v>Robusta</v>
      </c>
      <c r="O6" t="str" cm="1">
        <f t="array" ref="O6">_xlfn.SWITCH(J6,
"M","Medium",
"L","Light",
"D","Dark",
"")</f>
        <v>Light</v>
      </c>
      <c r="P6" t="str">
        <f>_xlfn.XLOOKUP(Orders[[#This Row],[Customer ID]],customers!$A$1:$A$1001,customers!$I$1:$I$1001,,0)</f>
        <v>No</v>
      </c>
    </row>
    <row r="7" spans="1:16" x14ac:dyDescent="0.35">
      <c r="A7" s="2" t="s">
        <v>519</v>
      </c>
      <c r="B7" s="4">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_xlfn.XLOOKUP(D7,products!$A$1:$A$49,products!$B$1:$B$49,,0)</f>
        <v>Lib</v>
      </c>
      <c r="J7" t="str">
        <f>_xlfn.XLOOKUP(D7,products!$A$1:$A$49,products!$C$1:$C$49,,0)</f>
        <v>D</v>
      </c>
      <c r="K7" s="7">
        <f>_xlfn.XLOOKUP(D7,products!$A$1:$A$49,products!$D$1:$D$49,,0)</f>
        <v>1</v>
      </c>
      <c r="L7" s="9">
        <f>_xlfn.XLOOKUP(D7,products!$A$1:$A$49,products!$E$1:$E$49,,0)</f>
        <v>12.95</v>
      </c>
      <c r="M7" s="9">
        <f t="shared" si="0"/>
        <v>38.849999999999994</v>
      </c>
      <c r="N7" s="3" t="str" cm="1">
        <f t="array" ref="N7">_xlfn.SWITCH(I7,
"Rob","Robusta",
"Exc","Excelsa",
"Ara","Arabica",
"Lib","Liberica",
"")</f>
        <v>Liberica</v>
      </c>
      <c r="O7" t="str" cm="1">
        <f t="array" ref="O7">_xlfn.SWITCH(J7,
"M","Medium",
"L","Light",
"D","Dark",
"")</f>
        <v>Dark</v>
      </c>
      <c r="P7" t="str">
        <f>_xlfn.XLOOKUP(Orders[[#This Row],[Customer ID]],customers!$A$1:$A$1001,customers!$I$1:$I$1001,,0)</f>
        <v>No</v>
      </c>
    </row>
    <row r="8" spans="1:16" x14ac:dyDescent="0.35">
      <c r="A8" s="2" t="s">
        <v>524</v>
      </c>
      <c r="B8" s="4">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_xlfn.XLOOKUP(D8,products!$A$1:$A$49,products!$B$1:$B$49,,0)</f>
        <v>Exc</v>
      </c>
      <c r="J8" t="str">
        <f>_xlfn.XLOOKUP(D8,products!$A$1:$A$49,products!$C$1:$C$49,,0)</f>
        <v>D</v>
      </c>
      <c r="K8" s="7">
        <f>_xlfn.XLOOKUP(D8,products!$A$1:$A$49,products!$D$1:$D$49,,0)</f>
        <v>0.5</v>
      </c>
      <c r="L8" s="9">
        <f>_xlfn.XLOOKUP(D8,products!$A$1:$A$49,products!$E$1:$E$49,,0)</f>
        <v>7.29</v>
      </c>
      <c r="M8" s="9">
        <f t="shared" si="0"/>
        <v>21.87</v>
      </c>
      <c r="N8" s="3" t="str" cm="1">
        <f t="array" ref="N8">_xlfn.SWITCH(I8,
"Rob","Robusta",
"Exc","Excelsa",
"Ara","Arabica",
"Lib","Liberica",
"")</f>
        <v>Excelsa</v>
      </c>
      <c r="O8" t="str" cm="1">
        <f t="array" ref="O8">_xlfn.SWITCH(J8,
"M","Medium",
"L","Light",
"D","Dark",
"")</f>
        <v>Dark</v>
      </c>
      <c r="P8" t="str">
        <f>_xlfn.XLOOKUP(Orders[[#This Row],[Customer ID]],customers!$A$1:$A$1001,customers!$I$1:$I$1001,,0)</f>
        <v>Yes</v>
      </c>
    </row>
    <row r="9" spans="1:16" x14ac:dyDescent="0.35">
      <c r="A9" s="2" t="s">
        <v>530</v>
      </c>
      <c r="B9" s="4">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_xlfn.XLOOKUP(D9,products!$A$1:$A$49,products!$B$1:$B$49,,0)</f>
        <v>Lib</v>
      </c>
      <c r="J9" t="str">
        <f>_xlfn.XLOOKUP(D9,products!$A$1:$A$49,products!$C$1:$C$49,,0)</f>
        <v>L</v>
      </c>
      <c r="K9" s="7">
        <f>_xlfn.XLOOKUP(D9,products!$A$1:$A$49,products!$D$1:$D$49,,0)</f>
        <v>0.2</v>
      </c>
      <c r="L9" s="9">
        <f>_xlfn.XLOOKUP(D9,products!$A$1:$A$49,products!$E$1:$E$49,,0)</f>
        <v>4.7549999999999999</v>
      </c>
      <c r="M9" s="9">
        <f t="shared" si="0"/>
        <v>4.7549999999999999</v>
      </c>
      <c r="N9" s="3" t="str" cm="1">
        <f t="array" ref="N9">_xlfn.SWITCH(I9,
"Rob","Robusta",
"Exc","Excelsa",
"Ara","Arabica",
"Lib","Liberica",
"")</f>
        <v>Liberica</v>
      </c>
      <c r="O9" t="str" cm="1">
        <f t="array" ref="O9">_xlfn.SWITCH(J9,
"M","Medium",
"L","Light",
"D","Dark",
"")</f>
        <v>Light</v>
      </c>
      <c r="P9" t="str">
        <f>_xlfn.XLOOKUP(Orders[[#This Row],[Customer ID]],customers!$A$1:$A$1001,customers!$I$1:$I$1001,,0)</f>
        <v>Yes</v>
      </c>
    </row>
    <row r="10" spans="1:16" x14ac:dyDescent="0.35">
      <c r="A10" s="2" t="s">
        <v>535</v>
      </c>
      <c r="B10" s="4">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_xlfn.XLOOKUP(D10,products!$A$1:$A$49,products!$B$1:$B$49,,0)</f>
        <v>Rob</v>
      </c>
      <c r="J10" t="str">
        <f>_xlfn.XLOOKUP(D10,products!$A$1:$A$49,products!$C$1:$C$49,,0)</f>
        <v>M</v>
      </c>
      <c r="K10" s="7">
        <f>_xlfn.XLOOKUP(D10,products!$A$1:$A$49,products!$D$1:$D$49,,0)</f>
        <v>0.5</v>
      </c>
      <c r="L10" s="9">
        <f>_xlfn.XLOOKUP(D10,products!$A$1:$A$49,products!$E$1:$E$49,,0)</f>
        <v>5.97</v>
      </c>
      <c r="M10" s="9">
        <f t="shared" si="0"/>
        <v>17.91</v>
      </c>
      <c r="N10" s="3" t="str" cm="1">
        <f t="array" ref="N10">_xlfn.SWITCH(I10,
"Rob","Robusta",
"Exc","Excelsa",
"Ara","Arabica",
"Lib","Liberica",
"")</f>
        <v>Robusta</v>
      </c>
      <c r="O10" t="str" cm="1">
        <f t="array" ref="O10">_xlfn.SWITCH(J10,
"M","Medium",
"L","Light",
"D","Dark",
"")</f>
        <v>Medium</v>
      </c>
      <c r="P10" t="str">
        <f>_xlfn.XLOOKUP(Orders[[#This Row],[Customer ID]],customers!$A$1:$A$1001,customers!$I$1:$I$1001,,0)</f>
        <v>No</v>
      </c>
    </row>
    <row r="11" spans="1:16" x14ac:dyDescent="0.35">
      <c r="A11" s="2" t="s">
        <v>541</v>
      </c>
      <c r="B11" s="4">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_xlfn.XLOOKUP(D11,products!$A$1:$A$49,products!$B$1:$B$49,,0)</f>
        <v>Rob</v>
      </c>
      <c r="J11" t="str">
        <f>_xlfn.XLOOKUP(D11,products!$A$1:$A$49,products!$C$1:$C$49,,0)</f>
        <v>M</v>
      </c>
      <c r="K11" s="7">
        <f>_xlfn.XLOOKUP(D11,products!$A$1:$A$49,products!$D$1:$D$49,,0)</f>
        <v>0.5</v>
      </c>
      <c r="L11" s="9">
        <f>_xlfn.XLOOKUP(D11,products!$A$1:$A$49,products!$E$1:$E$49,,0)</f>
        <v>5.97</v>
      </c>
      <c r="M11" s="9">
        <f t="shared" si="0"/>
        <v>5.97</v>
      </c>
      <c r="N11" s="3" t="str" cm="1">
        <f t="array" ref="N11">_xlfn.SWITCH(I11,
"Rob","Robusta",
"Exc","Excelsa",
"Ara","Arabica",
"Lib","Liberica",
"")</f>
        <v>Robusta</v>
      </c>
      <c r="O11" t="str" cm="1">
        <f t="array" ref="O11">_xlfn.SWITCH(J11,
"M","Medium",
"L","Light",
"D","Dark",
"")</f>
        <v>Medium</v>
      </c>
      <c r="P11" t="str">
        <f>_xlfn.XLOOKUP(Orders[[#This Row],[Customer ID]],customers!$A$1:$A$1001,customers!$I$1:$I$1001,,0)</f>
        <v>No</v>
      </c>
    </row>
    <row r="12" spans="1:16" x14ac:dyDescent="0.35">
      <c r="A12" s="2" t="s">
        <v>547</v>
      </c>
      <c r="B12" s="4">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_xlfn.XLOOKUP(D12,products!$A$1:$A$49,products!$B$1:$B$49,,0)</f>
        <v>Ara</v>
      </c>
      <c r="J12" t="str">
        <f>_xlfn.XLOOKUP(D12,products!$A$1:$A$49,products!$C$1:$C$49,,0)</f>
        <v>D</v>
      </c>
      <c r="K12" s="7">
        <f>_xlfn.XLOOKUP(D12,products!$A$1:$A$49,products!$D$1:$D$49,,0)</f>
        <v>1</v>
      </c>
      <c r="L12" s="9">
        <f>_xlfn.XLOOKUP(D12,products!$A$1:$A$49,products!$E$1:$E$49,,0)</f>
        <v>9.9499999999999993</v>
      </c>
      <c r="M12" s="9">
        <f t="shared" si="0"/>
        <v>39.799999999999997</v>
      </c>
      <c r="N12" s="3" t="str" cm="1">
        <f t="array" ref="N12">_xlfn.SWITCH(I12,
"Rob","Robusta",
"Exc","Excelsa",
"Ara","Arabica",
"Lib","Liberica",
"")</f>
        <v>Arabica</v>
      </c>
      <c r="O12" t="str" cm="1">
        <f t="array" ref="O12">_xlfn.SWITCH(J12,
"M","Medium",
"L","Light",
"D","Dark",
"")</f>
        <v>Dark</v>
      </c>
      <c r="P12" t="str">
        <f>_xlfn.XLOOKUP(Orders[[#This Row],[Customer ID]],customers!$A$1:$A$1001,customers!$I$1:$I$1001,,0)</f>
        <v>No</v>
      </c>
    </row>
    <row r="13" spans="1:16" x14ac:dyDescent="0.35">
      <c r="A13" s="2" t="s">
        <v>553</v>
      </c>
      <c r="B13" s="4">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_xlfn.XLOOKUP(D13,products!$A$1:$A$49,products!$B$1:$B$49,,0)</f>
        <v>Exc</v>
      </c>
      <c r="J13" t="str">
        <f>_xlfn.XLOOKUP(D13,products!$A$1:$A$49,products!$C$1:$C$49,,0)</f>
        <v>L</v>
      </c>
      <c r="K13" s="7">
        <f>_xlfn.XLOOKUP(D13,products!$A$1:$A$49,products!$D$1:$D$49,,0)</f>
        <v>2.5</v>
      </c>
      <c r="L13" s="9">
        <f>_xlfn.XLOOKUP(D13,products!$A$1:$A$49,products!$E$1:$E$49,,0)</f>
        <v>34.154999999999994</v>
      </c>
      <c r="M13" s="9">
        <f t="shared" si="0"/>
        <v>170.77499999999998</v>
      </c>
      <c r="N13" s="3" t="str" cm="1">
        <f t="array" ref="N13">_xlfn.SWITCH(I13,
"Rob","Robusta",
"Exc","Excelsa",
"Ara","Arabica",
"Lib","Liberica",
"")</f>
        <v>Excelsa</v>
      </c>
      <c r="O13" t="str" cm="1">
        <f t="array" ref="O13">_xlfn.SWITCH(J13,
"M","Medium",
"L","Light",
"D","Dark",
"")</f>
        <v>Light</v>
      </c>
      <c r="P13" t="str">
        <f>_xlfn.XLOOKUP(Orders[[#This Row],[Customer ID]],customers!$A$1:$A$1001,customers!$I$1:$I$1001,,0)</f>
        <v>Yes</v>
      </c>
    </row>
    <row r="14" spans="1:16" x14ac:dyDescent="0.35">
      <c r="A14" s="2" t="s">
        <v>559</v>
      </c>
      <c r="B14" s="4">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_xlfn.XLOOKUP(D14,products!$A$1:$A$49,products!$B$1:$B$49,,0)</f>
        <v>Rob</v>
      </c>
      <c r="J14" t="str">
        <f>_xlfn.XLOOKUP(D14,products!$A$1:$A$49,products!$C$1:$C$49,,0)</f>
        <v>M</v>
      </c>
      <c r="K14" s="7">
        <f>_xlfn.XLOOKUP(D14,products!$A$1:$A$49,products!$D$1:$D$49,,0)</f>
        <v>1</v>
      </c>
      <c r="L14" s="9">
        <f>_xlfn.XLOOKUP(D14,products!$A$1:$A$49,products!$E$1:$E$49,,0)</f>
        <v>9.9499999999999993</v>
      </c>
      <c r="M14" s="9">
        <f t="shared" si="0"/>
        <v>49.75</v>
      </c>
      <c r="N14" s="3" t="str" cm="1">
        <f t="array" ref="N14">_xlfn.SWITCH(I14,
"Rob","Robusta",
"Exc","Excelsa",
"Ara","Arabica",
"Lib","Liberica",
"")</f>
        <v>Robusta</v>
      </c>
      <c r="O14" t="str" cm="1">
        <f t="array" ref="O14">_xlfn.SWITCH(J14,
"M","Medium",
"L","Light",
"D","Dark",
"")</f>
        <v>Medium</v>
      </c>
      <c r="P14" t="str">
        <f>_xlfn.XLOOKUP(Orders[[#This Row],[Customer ID]],customers!$A$1:$A$1001,customers!$I$1:$I$1001,,0)</f>
        <v>No</v>
      </c>
    </row>
    <row r="15" spans="1:16" x14ac:dyDescent="0.35">
      <c r="A15" s="2" t="s">
        <v>565</v>
      </c>
      <c r="B15" s="4">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_xlfn.XLOOKUP(D15,products!$A$1:$A$49,products!$B$1:$B$49,,0)</f>
        <v>Rob</v>
      </c>
      <c r="J15" t="str">
        <f>_xlfn.XLOOKUP(D15,products!$A$1:$A$49,products!$C$1:$C$49,,0)</f>
        <v>D</v>
      </c>
      <c r="K15" s="7">
        <f>_xlfn.XLOOKUP(D15,products!$A$1:$A$49,products!$D$1:$D$49,,0)</f>
        <v>2.5</v>
      </c>
      <c r="L15" s="9">
        <f>_xlfn.XLOOKUP(D15,products!$A$1:$A$49,products!$E$1:$E$49,,0)</f>
        <v>20.584999999999997</v>
      </c>
      <c r="M15" s="9">
        <f t="shared" si="0"/>
        <v>41.169999999999995</v>
      </c>
      <c r="N15" s="3" t="str" cm="1">
        <f t="array" ref="N15">_xlfn.SWITCH(I15,
"Rob","Robusta",
"Exc","Excelsa",
"Ara","Arabica",
"Lib","Liberica",
"")</f>
        <v>Robusta</v>
      </c>
      <c r="O15" t="str" cm="1">
        <f t="array" ref="O15">_xlfn.SWITCH(J15,
"M","Medium",
"L","Light",
"D","Dark",
"")</f>
        <v>Dark</v>
      </c>
      <c r="P15" t="str">
        <f>_xlfn.XLOOKUP(Orders[[#This Row],[Customer ID]],customers!$A$1:$A$1001,customers!$I$1:$I$1001,,0)</f>
        <v>No</v>
      </c>
    </row>
    <row r="16" spans="1:16" x14ac:dyDescent="0.35">
      <c r="A16" s="2" t="s">
        <v>570</v>
      </c>
      <c r="B16" s="4">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_xlfn.XLOOKUP(D16,products!$A$1:$A$49,products!$B$1:$B$49,,0)</f>
        <v>Lib</v>
      </c>
      <c r="J16" t="str">
        <f>_xlfn.XLOOKUP(D16,products!$A$1:$A$49,products!$C$1:$C$49,,0)</f>
        <v>D</v>
      </c>
      <c r="K16" s="7">
        <f>_xlfn.XLOOKUP(D16,products!$A$1:$A$49,products!$D$1:$D$49,,0)</f>
        <v>0.2</v>
      </c>
      <c r="L16" s="9">
        <f>_xlfn.XLOOKUP(D16,products!$A$1:$A$49,products!$E$1:$E$49,,0)</f>
        <v>3.8849999999999998</v>
      </c>
      <c r="M16" s="9">
        <f t="shared" si="0"/>
        <v>11.654999999999999</v>
      </c>
      <c r="N16" s="3" t="str" cm="1">
        <f t="array" ref="N16">_xlfn.SWITCH(I16,
"Rob","Robusta",
"Exc","Excelsa",
"Ara","Arabica",
"Lib","Liberica",
"")</f>
        <v>Liberica</v>
      </c>
      <c r="O16" t="str" cm="1">
        <f t="array" ref="O16">_xlfn.SWITCH(J16,
"M","Medium",
"L","Light",
"D","Dark",
"")</f>
        <v>Dark</v>
      </c>
      <c r="P16" t="str">
        <f>_xlfn.XLOOKUP(Orders[[#This Row],[Customer ID]],customers!$A$1:$A$1001,customers!$I$1:$I$1001,,0)</f>
        <v>Yes</v>
      </c>
    </row>
    <row r="17" spans="1:16" x14ac:dyDescent="0.35">
      <c r="A17" s="2" t="s">
        <v>576</v>
      </c>
      <c r="B17" s="4">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_xlfn.XLOOKUP(D17,products!$A$1:$A$49,products!$B$1:$B$49,,0)</f>
        <v>Rob</v>
      </c>
      <c r="J17" t="str">
        <f>_xlfn.XLOOKUP(D17,products!$A$1:$A$49,products!$C$1:$C$49,,0)</f>
        <v>M</v>
      </c>
      <c r="K17" s="7">
        <f>_xlfn.XLOOKUP(D17,products!$A$1:$A$49,products!$D$1:$D$49,,0)</f>
        <v>2.5</v>
      </c>
      <c r="L17" s="9">
        <f>_xlfn.XLOOKUP(D17,products!$A$1:$A$49,products!$E$1:$E$49,,0)</f>
        <v>22.884999999999998</v>
      </c>
      <c r="M17" s="9">
        <f t="shared" si="0"/>
        <v>114.42499999999998</v>
      </c>
      <c r="N17" s="3" t="str" cm="1">
        <f t="array" ref="N17">_xlfn.SWITCH(I17,
"Rob","Robusta",
"Exc","Excelsa",
"Ara","Arabica",
"Lib","Liberica",
"")</f>
        <v>Robusta</v>
      </c>
      <c r="O17" t="str" cm="1">
        <f t="array" ref="O17">_xlfn.SWITCH(J17,
"M","Medium",
"L","Light",
"D","Dark",
"")</f>
        <v>Medium</v>
      </c>
      <c r="P17" t="str">
        <f>_xlfn.XLOOKUP(Orders[[#This Row],[Customer ID]],customers!$A$1:$A$1001,customers!$I$1:$I$1001,,0)</f>
        <v>No</v>
      </c>
    </row>
    <row r="18" spans="1:16" x14ac:dyDescent="0.35">
      <c r="A18" s="2" t="s">
        <v>581</v>
      </c>
      <c r="B18" s="4">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_xlfn.XLOOKUP(D18,products!$A$1:$A$49,products!$B$1:$B$49,,0)</f>
        <v>Ara</v>
      </c>
      <c r="J18" t="str">
        <f>_xlfn.XLOOKUP(D18,products!$A$1:$A$49,products!$C$1:$C$49,,0)</f>
        <v>M</v>
      </c>
      <c r="K18" s="7">
        <f>_xlfn.XLOOKUP(D18,products!$A$1:$A$49,products!$D$1:$D$49,,0)</f>
        <v>0.2</v>
      </c>
      <c r="L18" s="9">
        <f>_xlfn.XLOOKUP(D18,products!$A$1:$A$49,products!$E$1:$E$49,,0)</f>
        <v>3.375</v>
      </c>
      <c r="M18" s="9">
        <f t="shared" si="0"/>
        <v>20.25</v>
      </c>
      <c r="N18" s="3" t="str" cm="1">
        <f t="array" ref="N18">_xlfn.SWITCH(I18,
"Rob","Robusta",
"Exc","Excelsa",
"Ara","Arabica",
"Lib","Liberica",
"")</f>
        <v>Arabica</v>
      </c>
      <c r="O18" t="str" cm="1">
        <f t="array" ref="O18">_xlfn.SWITCH(J18,
"M","Medium",
"L","Light",
"D","Dark",
"")</f>
        <v>Medium</v>
      </c>
      <c r="P18" t="str">
        <f>_xlfn.XLOOKUP(Orders[[#This Row],[Customer ID]],customers!$A$1:$A$1001,customers!$I$1:$I$1001,,0)</f>
        <v>No</v>
      </c>
    </row>
    <row r="19" spans="1:16" x14ac:dyDescent="0.35">
      <c r="A19" s="2" t="s">
        <v>587</v>
      </c>
      <c r="B19" s="4">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_xlfn.XLOOKUP(D19,products!$A$1:$A$49,products!$B$1:$B$49,,0)</f>
        <v>Ara</v>
      </c>
      <c r="J19" t="str">
        <f>_xlfn.XLOOKUP(D19,products!$A$1:$A$49,products!$C$1:$C$49,,0)</f>
        <v>L</v>
      </c>
      <c r="K19" s="7">
        <f>_xlfn.XLOOKUP(D19,products!$A$1:$A$49,products!$D$1:$D$49,,0)</f>
        <v>1</v>
      </c>
      <c r="L19" s="9">
        <f>_xlfn.XLOOKUP(D19,products!$A$1:$A$49,products!$E$1:$E$49,,0)</f>
        <v>12.95</v>
      </c>
      <c r="M19" s="9">
        <f t="shared" si="0"/>
        <v>77.699999999999989</v>
      </c>
      <c r="N19" s="3" t="str" cm="1">
        <f t="array" ref="N19">_xlfn.SWITCH(I19,
"Rob","Robusta",
"Exc","Excelsa",
"Ara","Arabica",
"Lib","Liberica",
"")</f>
        <v>Arabica</v>
      </c>
      <c r="O19" t="str" cm="1">
        <f t="array" ref="O19">_xlfn.SWITCH(J19,
"M","Medium",
"L","Light",
"D","Dark",
"")</f>
        <v>Light</v>
      </c>
      <c r="P19" t="str">
        <f>_xlfn.XLOOKUP(Orders[[#This Row],[Customer ID]],customers!$A$1:$A$1001,customers!$I$1:$I$1001,,0)</f>
        <v>No</v>
      </c>
    </row>
    <row r="20" spans="1:16" x14ac:dyDescent="0.35">
      <c r="A20" s="2" t="s">
        <v>593</v>
      </c>
      <c r="B20" s="4">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_xlfn.XLOOKUP(D20,products!$A$1:$A$49,products!$B$1:$B$49,,0)</f>
        <v>Rob</v>
      </c>
      <c r="J20" t="str">
        <f>_xlfn.XLOOKUP(D20,products!$A$1:$A$49,products!$C$1:$C$49,,0)</f>
        <v>D</v>
      </c>
      <c r="K20" s="7">
        <f>_xlfn.XLOOKUP(D20,products!$A$1:$A$49,products!$D$1:$D$49,,0)</f>
        <v>2.5</v>
      </c>
      <c r="L20" s="9">
        <f>_xlfn.XLOOKUP(D20,products!$A$1:$A$49,products!$E$1:$E$49,,0)</f>
        <v>20.584999999999997</v>
      </c>
      <c r="M20" s="9">
        <f t="shared" si="0"/>
        <v>82.339999999999989</v>
      </c>
      <c r="N20" s="3" t="str" cm="1">
        <f t="array" ref="N20">_xlfn.SWITCH(I20,
"Rob","Robusta",
"Exc","Excelsa",
"Ara","Arabica",
"Lib","Liberica",
"")</f>
        <v>Robusta</v>
      </c>
      <c r="O20" t="str" cm="1">
        <f t="array" ref="O20">_xlfn.SWITCH(J20,
"M","Medium",
"L","Light",
"D","Dark",
"")</f>
        <v>Dark</v>
      </c>
      <c r="P20" t="str">
        <f>_xlfn.XLOOKUP(Orders[[#This Row],[Customer ID]],customers!$A$1:$A$1001,customers!$I$1:$I$1001,,0)</f>
        <v>Yes</v>
      </c>
    </row>
    <row r="21" spans="1:16" x14ac:dyDescent="0.35">
      <c r="A21" s="2" t="s">
        <v>598</v>
      </c>
      <c r="B21" s="4">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_xlfn.XLOOKUP(D21,products!$A$1:$A$49,products!$B$1:$B$49,,0)</f>
        <v>Ara</v>
      </c>
      <c r="J21" t="str">
        <f>_xlfn.XLOOKUP(D21,products!$A$1:$A$49,products!$C$1:$C$49,,0)</f>
        <v>M</v>
      </c>
      <c r="K21" s="7">
        <f>_xlfn.XLOOKUP(D21,products!$A$1:$A$49,products!$D$1:$D$49,,0)</f>
        <v>0.2</v>
      </c>
      <c r="L21" s="9">
        <f>_xlfn.XLOOKUP(D21,products!$A$1:$A$49,products!$E$1:$E$49,,0)</f>
        <v>3.375</v>
      </c>
      <c r="M21" s="9">
        <f t="shared" si="0"/>
        <v>16.875</v>
      </c>
      <c r="N21" s="3" t="str" cm="1">
        <f t="array" ref="N21">_xlfn.SWITCH(I21,
"Rob","Robusta",
"Exc","Excelsa",
"Ara","Arabica",
"Lib","Liberica",
"")</f>
        <v>Arabica</v>
      </c>
      <c r="O21" t="str" cm="1">
        <f t="array" ref="O21">_xlfn.SWITCH(J21,
"M","Medium",
"L","Light",
"D","Dark",
"")</f>
        <v>Medium</v>
      </c>
      <c r="P21" t="str">
        <f>_xlfn.XLOOKUP(Orders[[#This Row],[Customer ID]],customers!$A$1:$A$1001,customers!$I$1:$I$1001,,0)</f>
        <v>Yes</v>
      </c>
    </row>
    <row r="22" spans="1:16" x14ac:dyDescent="0.35">
      <c r="A22" s="2" t="s">
        <v>598</v>
      </c>
      <c r="B22" s="4">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_xlfn.XLOOKUP(D22,products!$A$1:$A$49,products!$B$1:$B$49,,0)</f>
        <v>Exc</v>
      </c>
      <c r="J22" t="str">
        <f>_xlfn.XLOOKUP(D22,products!$A$1:$A$49,products!$C$1:$C$49,,0)</f>
        <v>D</v>
      </c>
      <c r="K22" s="7">
        <f>_xlfn.XLOOKUP(D22,products!$A$1:$A$49,products!$D$1:$D$49,,0)</f>
        <v>0.2</v>
      </c>
      <c r="L22" s="9">
        <f>_xlfn.XLOOKUP(D22,products!$A$1:$A$49,products!$E$1:$E$49,,0)</f>
        <v>3.645</v>
      </c>
      <c r="M22" s="9">
        <f t="shared" si="0"/>
        <v>14.58</v>
      </c>
      <c r="N22" s="3" t="str" cm="1">
        <f t="array" ref="N22">_xlfn.SWITCH(I22,
"Rob","Robusta",
"Exc","Excelsa",
"Ara","Arabica",
"Lib","Liberica",
"")</f>
        <v>Excelsa</v>
      </c>
      <c r="O22" t="str" cm="1">
        <f t="array" ref="O22">_xlfn.SWITCH(J22,
"M","Medium",
"L","Light",
"D","Dark",
"")</f>
        <v>Dark</v>
      </c>
      <c r="P22" t="str">
        <f>_xlfn.XLOOKUP(Orders[[#This Row],[Customer ID]],customers!$A$1:$A$1001,customers!$I$1:$I$1001,,0)</f>
        <v>Yes</v>
      </c>
    </row>
    <row r="23" spans="1:16" x14ac:dyDescent="0.35">
      <c r="A23" s="2" t="s">
        <v>608</v>
      </c>
      <c r="B23" s="4">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_xlfn.XLOOKUP(D23,products!$A$1:$A$49,products!$B$1:$B$49,,0)</f>
        <v>Ara</v>
      </c>
      <c r="J23" t="str">
        <f>_xlfn.XLOOKUP(D23,products!$A$1:$A$49,products!$C$1:$C$49,,0)</f>
        <v>D</v>
      </c>
      <c r="K23" s="7">
        <f>_xlfn.XLOOKUP(D23,products!$A$1:$A$49,products!$D$1:$D$49,,0)</f>
        <v>0.2</v>
      </c>
      <c r="L23" s="9">
        <f>_xlfn.XLOOKUP(D23,products!$A$1:$A$49,products!$E$1:$E$49,,0)</f>
        <v>2.9849999999999999</v>
      </c>
      <c r="M23" s="9">
        <f t="shared" si="0"/>
        <v>17.91</v>
      </c>
      <c r="N23" s="3" t="str" cm="1">
        <f t="array" ref="N23">_xlfn.SWITCH(I23,
"Rob","Robusta",
"Exc","Excelsa",
"Ara","Arabica",
"Lib","Liberica",
"")</f>
        <v>Arabica</v>
      </c>
      <c r="O23" t="str" cm="1">
        <f t="array" ref="O23">_xlfn.SWITCH(J23,
"M","Medium",
"L","Light",
"D","Dark",
"")</f>
        <v>Dark</v>
      </c>
      <c r="P23" t="str">
        <f>_xlfn.XLOOKUP(Orders[[#This Row],[Customer ID]],customers!$A$1:$A$1001,customers!$I$1:$I$1001,,0)</f>
        <v>No</v>
      </c>
    </row>
    <row r="24" spans="1:16" x14ac:dyDescent="0.35">
      <c r="A24" s="2" t="s">
        <v>614</v>
      </c>
      <c r="B24" s="4">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_xlfn.XLOOKUP(D24,products!$A$1:$A$49,products!$B$1:$B$49,,0)</f>
        <v>Rob</v>
      </c>
      <c r="J24" t="str">
        <f>_xlfn.XLOOKUP(D24,products!$A$1:$A$49,products!$C$1:$C$49,,0)</f>
        <v>M</v>
      </c>
      <c r="K24" s="7">
        <f>_xlfn.XLOOKUP(D24,products!$A$1:$A$49,products!$D$1:$D$49,,0)</f>
        <v>2.5</v>
      </c>
      <c r="L24" s="9">
        <f>_xlfn.XLOOKUP(D24,products!$A$1:$A$49,products!$E$1:$E$49,,0)</f>
        <v>22.884999999999998</v>
      </c>
      <c r="M24" s="9">
        <f t="shared" si="0"/>
        <v>91.539999999999992</v>
      </c>
      <c r="N24" s="3" t="str" cm="1">
        <f t="array" ref="N24">_xlfn.SWITCH(I24,
"Rob","Robusta",
"Exc","Excelsa",
"Ara","Arabica",
"Lib","Liberica",
"")</f>
        <v>Robusta</v>
      </c>
      <c r="O24" t="str" cm="1">
        <f t="array" ref="O24">_xlfn.SWITCH(J24,
"M","Medium",
"L","Light",
"D","Dark",
"")</f>
        <v>Medium</v>
      </c>
      <c r="P24" t="str">
        <f>_xlfn.XLOOKUP(Orders[[#This Row],[Customer ID]],customers!$A$1:$A$1001,customers!$I$1:$I$1001,,0)</f>
        <v>Yes</v>
      </c>
    </row>
    <row r="25" spans="1:16" x14ac:dyDescent="0.35">
      <c r="A25" s="2" t="s">
        <v>620</v>
      </c>
      <c r="B25" s="4">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_xlfn.XLOOKUP(D25,products!$A$1:$A$49,products!$B$1:$B$49,,0)</f>
        <v>Ara</v>
      </c>
      <c r="J25" t="str">
        <f>_xlfn.XLOOKUP(D25,products!$A$1:$A$49,products!$C$1:$C$49,,0)</f>
        <v>D</v>
      </c>
      <c r="K25" s="7">
        <f>_xlfn.XLOOKUP(D25,products!$A$1:$A$49,products!$D$1:$D$49,,0)</f>
        <v>0.2</v>
      </c>
      <c r="L25" s="9">
        <f>_xlfn.XLOOKUP(D25,products!$A$1:$A$49,products!$E$1:$E$49,,0)</f>
        <v>2.9849999999999999</v>
      </c>
      <c r="M25" s="9">
        <f t="shared" si="0"/>
        <v>11.94</v>
      </c>
      <c r="N25" s="3" t="str" cm="1">
        <f t="array" ref="N25">_xlfn.SWITCH(I25,
"Rob","Robusta",
"Exc","Excelsa",
"Ara","Arabica",
"Lib","Liberica",
"")</f>
        <v>Arabica</v>
      </c>
      <c r="O25" t="str" cm="1">
        <f t="array" ref="O25">_xlfn.SWITCH(J25,
"M","Medium",
"L","Light",
"D","Dark",
"")</f>
        <v>Dark</v>
      </c>
      <c r="P25" t="str">
        <f>_xlfn.XLOOKUP(Orders[[#This Row],[Customer ID]],customers!$A$1:$A$1001,customers!$I$1:$I$1001,,0)</f>
        <v>Yes</v>
      </c>
    </row>
    <row r="26" spans="1:16" x14ac:dyDescent="0.35">
      <c r="A26" s="2" t="s">
        <v>626</v>
      </c>
      <c r="B26" s="4">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_xlfn.XLOOKUP(D26,products!$A$1:$A$49,products!$B$1:$B$49,,0)</f>
        <v>Ara</v>
      </c>
      <c r="J26" t="str">
        <f>_xlfn.XLOOKUP(D26,products!$A$1:$A$49,products!$C$1:$C$49,,0)</f>
        <v>M</v>
      </c>
      <c r="K26" s="7">
        <f>_xlfn.XLOOKUP(D26,products!$A$1:$A$49,products!$D$1:$D$49,,0)</f>
        <v>1</v>
      </c>
      <c r="L26" s="9">
        <f>_xlfn.XLOOKUP(D26,products!$A$1:$A$49,products!$E$1:$E$49,,0)</f>
        <v>11.25</v>
      </c>
      <c r="M26" s="9">
        <f t="shared" si="0"/>
        <v>11.25</v>
      </c>
      <c r="N26" s="3" t="str" cm="1">
        <f t="array" ref="N26">_xlfn.SWITCH(I26,
"Rob","Robusta",
"Exc","Excelsa",
"Ara","Arabica",
"Lib","Liberica",
"")</f>
        <v>Arabica</v>
      </c>
      <c r="O26" t="str" cm="1">
        <f t="array" ref="O26">_xlfn.SWITCH(J26,
"M","Medium",
"L","Light",
"D","Dark",
"")</f>
        <v>Medium</v>
      </c>
      <c r="P26" t="str">
        <f>_xlfn.XLOOKUP(Orders[[#This Row],[Customer ID]],customers!$A$1:$A$1001,customers!$I$1:$I$1001,,0)</f>
        <v>No</v>
      </c>
    </row>
    <row r="27" spans="1:16" x14ac:dyDescent="0.35">
      <c r="A27" s="2" t="s">
        <v>632</v>
      </c>
      <c r="B27" s="4">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_xlfn.XLOOKUP(D27,products!$A$1:$A$49,products!$B$1:$B$49,,0)</f>
        <v>Exc</v>
      </c>
      <c r="J27" t="str">
        <f>_xlfn.XLOOKUP(D27,products!$A$1:$A$49,products!$C$1:$C$49,,0)</f>
        <v>M</v>
      </c>
      <c r="K27" s="7">
        <f>_xlfn.XLOOKUP(D27,products!$A$1:$A$49,products!$D$1:$D$49,,0)</f>
        <v>0.2</v>
      </c>
      <c r="L27" s="9">
        <f>_xlfn.XLOOKUP(D27,products!$A$1:$A$49,products!$E$1:$E$49,,0)</f>
        <v>4.125</v>
      </c>
      <c r="M27" s="9">
        <f t="shared" si="0"/>
        <v>12.375</v>
      </c>
      <c r="N27" s="3" t="str" cm="1">
        <f t="array" ref="N27">_xlfn.SWITCH(I27,
"Rob","Robusta",
"Exc","Excelsa",
"Ara","Arabica",
"Lib","Liberica",
"")</f>
        <v>Excelsa</v>
      </c>
      <c r="O27" t="str" cm="1">
        <f t="array" ref="O27">_xlfn.SWITCH(J27,
"M","Medium",
"L","Light",
"D","Dark",
"")</f>
        <v>Medium</v>
      </c>
      <c r="P27" t="str">
        <f>_xlfn.XLOOKUP(Orders[[#This Row],[Customer ID]],customers!$A$1:$A$1001,customers!$I$1:$I$1001,,0)</f>
        <v>Yes</v>
      </c>
    </row>
    <row r="28" spans="1:16" x14ac:dyDescent="0.35">
      <c r="A28" s="2" t="s">
        <v>637</v>
      </c>
      <c r="B28" s="4">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_xlfn.XLOOKUP(D28,products!$A$1:$A$49,products!$B$1:$B$49,,0)</f>
        <v>Ara</v>
      </c>
      <c r="J28" t="str">
        <f>_xlfn.XLOOKUP(D28,products!$A$1:$A$49,products!$C$1:$C$49,,0)</f>
        <v>M</v>
      </c>
      <c r="K28" s="7">
        <f>_xlfn.XLOOKUP(D28,products!$A$1:$A$49,products!$D$1:$D$49,,0)</f>
        <v>0.5</v>
      </c>
      <c r="L28" s="9">
        <f>_xlfn.XLOOKUP(D28,products!$A$1:$A$49,products!$E$1:$E$49,,0)</f>
        <v>6.75</v>
      </c>
      <c r="M28" s="9">
        <f t="shared" si="0"/>
        <v>27</v>
      </c>
      <c r="N28" s="3" t="str" cm="1">
        <f t="array" ref="N28">_xlfn.SWITCH(I28,
"Rob","Robusta",
"Exc","Excelsa",
"Ara","Arabica",
"Lib","Liberica",
"")</f>
        <v>Arabica</v>
      </c>
      <c r="O28" t="str" cm="1">
        <f t="array" ref="O28">_xlfn.SWITCH(J28,
"M","Medium",
"L","Light",
"D","Dark",
"")</f>
        <v>Medium</v>
      </c>
      <c r="P28" t="str">
        <f>_xlfn.XLOOKUP(Orders[[#This Row],[Customer ID]],customers!$A$1:$A$1001,customers!$I$1:$I$1001,,0)</f>
        <v>Yes</v>
      </c>
    </row>
    <row r="29" spans="1:16" x14ac:dyDescent="0.35">
      <c r="A29" s="2" t="s">
        <v>643</v>
      </c>
      <c r="B29" s="4">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_xlfn.XLOOKUP(D29,products!$A$1:$A$49,products!$B$1:$B$49,,0)</f>
        <v>Ara</v>
      </c>
      <c r="J29" t="str">
        <f>_xlfn.XLOOKUP(D29,products!$A$1:$A$49,products!$C$1:$C$49,,0)</f>
        <v>M</v>
      </c>
      <c r="K29" s="7">
        <f>_xlfn.XLOOKUP(D29,products!$A$1:$A$49,products!$D$1:$D$49,,0)</f>
        <v>0.2</v>
      </c>
      <c r="L29" s="9">
        <f>_xlfn.XLOOKUP(D29,products!$A$1:$A$49,products!$E$1:$E$49,,0)</f>
        <v>3.375</v>
      </c>
      <c r="M29" s="9">
        <f t="shared" si="0"/>
        <v>16.875</v>
      </c>
      <c r="N29" s="3" t="str" cm="1">
        <f t="array" ref="N29">_xlfn.SWITCH(I29,
"Rob","Robusta",
"Exc","Excelsa",
"Ara","Arabica",
"Lib","Liberica",
"")</f>
        <v>Arabica</v>
      </c>
      <c r="O29" t="str" cm="1">
        <f t="array" ref="O29">_xlfn.SWITCH(J29,
"M","Medium",
"L","Light",
"D","Dark",
"")</f>
        <v>Medium</v>
      </c>
      <c r="P29" t="str">
        <f>_xlfn.XLOOKUP(Orders[[#This Row],[Customer ID]],customers!$A$1:$A$1001,customers!$I$1:$I$1001,,0)</f>
        <v>No</v>
      </c>
    </row>
    <row r="30" spans="1:16" x14ac:dyDescent="0.35">
      <c r="A30" s="2" t="s">
        <v>649</v>
      </c>
      <c r="B30" s="4">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_xlfn.XLOOKUP(D30,products!$A$1:$A$49,products!$B$1:$B$49,,0)</f>
        <v>Ara</v>
      </c>
      <c r="J30" t="str">
        <f>_xlfn.XLOOKUP(D30,products!$A$1:$A$49,products!$C$1:$C$49,,0)</f>
        <v>D</v>
      </c>
      <c r="K30" s="7">
        <f>_xlfn.XLOOKUP(D30,products!$A$1:$A$49,products!$D$1:$D$49,,0)</f>
        <v>0.5</v>
      </c>
      <c r="L30" s="9">
        <f>_xlfn.XLOOKUP(D30,products!$A$1:$A$49,products!$E$1:$E$49,,0)</f>
        <v>5.97</v>
      </c>
      <c r="M30" s="9">
        <f t="shared" si="0"/>
        <v>17.91</v>
      </c>
      <c r="N30" s="3" t="str" cm="1">
        <f t="array" ref="N30">_xlfn.SWITCH(I30,
"Rob","Robusta",
"Exc","Excelsa",
"Ara","Arabica",
"Lib","Liberica",
"")</f>
        <v>Arabica</v>
      </c>
      <c r="O30" t="str" cm="1">
        <f t="array" ref="O30">_xlfn.SWITCH(J30,
"M","Medium",
"L","Light",
"D","Dark",
"")</f>
        <v>Dark</v>
      </c>
      <c r="P30" t="str">
        <f>_xlfn.XLOOKUP(Orders[[#This Row],[Customer ID]],customers!$A$1:$A$1001,customers!$I$1:$I$1001,,0)</f>
        <v>No</v>
      </c>
    </row>
    <row r="31" spans="1:16" x14ac:dyDescent="0.35">
      <c r="A31" s="2" t="s">
        <v>655</v>
      </c>
      <c r="B31" s="4">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_xlfn.XLOOKUP(D31,products!$A$1:$A$49,products!$B$1:$B$49,,0)</f>
        <v>Ara</v>
      </c>
      <c r="J31" t="str">
        <f>_xlfn.XLOOKUP(D31,products!$A$1:$A$49,products!$C$1:$C$49,,0)</f>
        <v>D</v>
      </c>
      <c r="K31" s="7">
        <f>_xlfn.XLOOKUP(D31,products!$A$1:$A$49,products!$D$1:$D$49,,0)</f>
        <v>1</v>
      </c>
      <c r="L31" s="9">
        <f>_xlfn.XLOOKUP(D31,products!$A$1:$A$49,products!$E$1:$E$49,,0)</f>
        <v>9.9499999999999993</v>
      </c>
      <c r="M31" s="9">
        <f t="shared" si="0"/>
        <v>39.799999999999997</v>
      </c>
      <c r="N31" s="3" t="str" cm="1">
        <f t="array" ref="N31">_xlfn.SWITCH(I31,
"Rob","Robusta",
"Exc","Excelsa",
"Ara","Arabica",
"Lib","Liberica",
"")</f>
        <v>Arabica</v>
      </c>
      <c r="O31" t="str" cm="1">
        <f t="array" ref="O31">_xlfn.SWITCH(J31,
"M","Medium",
"L","Light",
"D","Dark",
"")</f>
        <v>Dark</v>
      </c>
      <c r="P31" t="str">
        <f>_xlfn.XLOOKUP(Orders[[#This Row],[Customer ID]],customers!$A$1:$A$1001,customers!$I$1:$I$1001,,0)</f>
        <v>Yes</v>
      </c>
    </row>
    <row r="32" spans="1:16" x14ac:dyDescent="0.35">
      <c r="A32" s="2" t="s">
        <v>661</v>
      </c>
      <c r="B32" s="4">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_xlfn.XLOOKUP(D32,products!$A$1:$A$49,products!$B$1:$B$49,,0)</f>
        <v>Lib</v>
      </c>
      <c r="J32" t="str">
        <f>_xlfn.XLOOKUP(D32,products!$A$1:$A$49,products!$C$1:$C$49,,0)</f>
        <v>M</v>
      </c>
      <c r="K32" s="7">
        <f>_xlfn.XLOOKUP(D32,products!$A$1:$A$49,products!$D$1:$D$49,,0)</f>
        <v>0.2</v>
      </c>
      <c r="L32" s="9">
        <f>_xlfn.XLOOKUP(D32,products!$A$1:$A$49,products!$E$1:$E$49,,0)</f>
        <v>4.3650000000000002</v>
      </c>
      <c r="M32" s="9">
        <f t="shared" si="0"/>
        <v>21.825000000000003</v>
      </c>
      <c r="N32" s="3" t="str" cm="1">
        <f t="array" ref="N32">_xlfn.SWITCH(I32,
"Rob","Robusta",
"Exc","Excelsa",
"Ara","Arabica",
"Lib","Liberica",
"")</f>
        <v>Liberica</v>
      </c>
      <c r="O32" t="str" cm="1">
        <f t="array" ref="O32">_xlfn.SWITCH(J32,
"M","Medium",
"L","Light",
"D","Dark",
"")</f>
        <v>Medium</v>
      </c>
      <c r="P32" t="str">
        <f>_xlfn.XLOOKUP(Orders[[#This Row],[Customer ID]],customers!$A$1:$A$1001,customers!$I$1:$I$1001,,0)</f>
        <v>No</v>
      </c>
    </row>
    <row r="33" spans="1:16" x14ac:dyDescent="0.35">
      <c r="A33" s="2" t="s">
        <v>661</v>
      </c>
      <c r="B33" s="4">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_xlfn.XLOOKUP(D33,products!$A$1:$A$49,products!$B$1:$B$49,,0)</f>
        <v>Ara</v>
      </c>
      <c r="J33" t="str">
        <f>_xlfn.XLOOKUP(D33,products!$A$1:$A$49,products!$C$1:$C$49,,0)</f>
        <v>D</v>
      </c>
      <c r="K33" s="7">
        <f>_xlfn.XLOOKUP(D33,products!$A$1:$A$49,products!$D$1:$D$49,,0)</f>
        <v>0.5</v>
      </c>
      <c r="L33" s="9">
        <f>_xlfn.XLOOKUP(D33,products!$A$1:$A$49,products!$E$1:$E$49,,0)</f>
        <v>5.97</v>
      </c>
      <c r="M33" s="9">
        <f t="shared" si="0"/>
        <v>35.82</v>
      </c>
      <c r="N33" s="3" t="str" cm="1">
        <f t="array" ref="N33">_xlfn.SWITCH(I33,
"Rob","Robusta",
"Exc","Excelsa",
"Ara","Arabica",
"Lib","Liberica",
"")</f>
        <v>Arabica</v>
      </c>
      <c r="O33" t="str" cm="1">
        <f t="array" ref="O33">_xlfn.SWITCH(J33,
"M","Medium",
"L","Light",
"D","Dark",
"")</f>
        <v>Dark</v>
      </c>
      <c r="P33" t="str">
        <f>_xlfn.XLOOKUP(Orders[[#This Row],[Customer ID]],customers!$A$1:$A$1001,customers!$I$1:$I$1001,,0)</f>
        <v>No</v>
      </c>
    </row>
    <row r="34" spans="1:16" x14ac:dyDescent="0.35">
      <c r="A34" s="2" t="s">
        <v>661</v>
      </c>
      <c r="B34" s="4">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_xlfn.XLOOKUP(D34,products!$A$1:$A$49,products!$B$1:$B$49,,0)</f>
        <v>Lib</v>
      </c>
      <c r="J34" t="str">
        <f>_xlfn.XLOOKUP(D34,products!$A$1:$A$49,products!$C$1:$C$49,,0)</f>
        <v>M</v>
      </c>
      <c r="K34" s="7">
        <f>_xlfn.XLOOKUP(D34,products!$A$1:$A$49,products!$D$1:$D$49,,0)</f>
        <v>0.5</v>
      </c>
      <c r="L34" s="9">
        <f>_xlfn.XLOOKUP(D34,products!$A$1:$A$49,products!$E$1:$E$49,,0)</f>
        <v>8.73</v>
      </c>
      <c r="M34" s="9">
        <f t="shared" si="0"/>
        <v>52.38</v>
      </c>
      <c r="N34" s="3" t="str" cm="1">
        <f t="array" ref="N34">_xlfn.SWITCH(I34,
"Rob","Robusta",
"Exc","Excelsa",
"Ara","Arabica",
"Lib","Liberica",
"")</f>
        <v>Liberica</v>
      </c>
      <c r="O34" t="str" cm="1">
        <f t="array" ref="O34">_xlfn.SWITCH(J34,
"M","Medium",
"L","Light",
"D","Dark",
"")</f>
        <v>Medium</v>
      </c>
      <c r="P34" t="str">
        <f>_xlfn.XLOOKUP(Orders[[#This Row],[Customer ID]],customers!$A$1:$A$1001,customers!$I$1:$I$1001,,0)</f>
        <v>No</v>
      </c>
    </row>
    <row r="35" spans="1:16" x14ac:dyDescent="0.35">
      <c r="A35" s="2" t="s">
        <v>676</v>
      </c>
      <c r="B35" s="4">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_xlfn.XLOOKUP(D35,products!$A$1:$A$49,products!$B$1:$B$49,,0)</f>
        <v>Lib</v>
      </c>
      <c r="J35" t="str">
        <f>_xlfn.XLOOKUP(D35,products!$A$1:$A$49,products!$C$1:$C$49,,0)</f>
        <v>L</v>
      </c>
      <c r="K35" s="7">
        <f>_xlfn.XLOOKUP(D35,products!$A$1:$A$49,products!$D$1:$D$49,,0)</f>
        <v>0.2</v>
      </c>
      <c r="L35" s="9">
        <f>_xlfn.XLOOKUP(D35,products!$A$1:$A$49,products!$E$1:$E$49,,0)</f>
        <v>4.7549999999999999</v>
      </c>
      <c r="M35" s="9">
        <f t="shared" si="0"/>
        <v>23.774999999999999</v>
      </c>
      <c r="N35" s="3" t="str" cm="1">
        <f t="array" ref="N35">_xlfn.SWITCH(I35,
"Rob","Robusta",
"Exc","Excelsa",
"Ara","Arabica",
"Lib","Liberica",
"")</f>
        <v>Liberica</v>
      </c>
      <c r="O35" t="str" cm="1">
        <f t="array" ref="O35">_xlfn.SWITCH(J35,
"M","Medium",
"L","Light",
"D","Dark",
"")</f>
        <v>Light</v>
      </c>
      <c r="P35" t="str">
        <f>_xlfn.XLOOKUP(Orders[[#This Row],[Customer ID]],customers!$A$1:$A$1001,customers!$I$1:$I$1001,,0)</f>
        <v>No</v>
      </c>
    </row>
    <row r="36" spans="1:16" x14ac:dyDescent="0.35">
      <c r="A36" s="2" t="s">
        <v>681</v>
      </c>
      <c r="B36" s="4">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_xlfn.XLOOKUP(D36,products!$A$1:$A$49,products!$B$1:$B$49,,0)</f>
        <v>Lib</v>
      </c>
      <c r="J36" t="str">
        <f>_xlfn.XLOOKUP(D36,products!$A$1:$A$49,products!$C$1:$C$49,,0)</f>
        <v>L</v>
      </c>
      <c r="K36" s="7">
        <f>_xlfn.XLOOKUP(D36,products!$A$1:$A$49,products!$D$1:$D$49,,0)</f>
        <v>0.5</v>
      </c>
      <c r="L36" s="9">
        <f>_xlfn.XLOOKUP(D36,products!$A$1:$A$49,products!$E$1:$E$49,,0)</f>
        <v>9.51</v>
      </c>
      <c r="M36" s="9">
        <f t="shared" si="0"/>
        <v>57.06</v>
      </c>
      <c r="N36" s="3" t="str" cm="1">
        <f t="array" ref="N36">_xlfn.SWITCH(I36,
"Rob","Robusta",
"Exc","Excelsa",
"Ara","Arabica",
"Lib","Liberica",
"")</f>
        <v>Liberica</v>
      </c>
      <c r="O36" t="str" cm="1">
        <f t="array" ref="O36">_xlfn.SWITCH(J36,
"M","Medium",
"L","Light",
"D","Dark",
"")</f>
        <v>Light</v>
      </c>
      <c r="P36" t="str">
        <f>_xlfn.XLOOKUP(Orders[[#This Row],[Customer ID]],customers!$A$1:$A$1001,customers!$I$1:$I$1001,,0)</f>
        <v>Yes</v>
      </c>
    </row>
    <row r="37" spans="1:16" x14ac:dyDescent="0.35">
      <c r="A37" s="2" t="s">
        <v>687</v>
      </c>
      <c r="B37" s="4">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_xlfn.XLOOKUP(D37,products!$A$1:$A$49,products!$B$1:$B$49,,0)</f>
        <v>Ara</v>
      </c>
      <c r="J37" t="str">
        <f>_xlfn.XLOOKUP(D37,products!$A$1:$A$49,products!$C$1:$C$49,,0)</f>
        <v>D</v>
      </c>
      <c r="K37" s="7">
        <f>_xlfn.XLOOKUP(D37,products!$A$1:$A$49,products!$D$1:$D$49,,0)</f>
        <v>0.5</v>
      </c>
      <c r="L37" s="9">
        <f>_xlfn.XLOOKUP(D37,products!$A$1:$A$49,products!$E$1:$E$49,,0)</f>
        <v>5.97</v>
      </c>
      <c r="M37" s="9">
        <f t="shared" si="0"/>
        <v>35.82</v>
      </c>
      <c r="N37" s="3" t="str" cm="1">
        <f t="array" ref="N37">_xlfn.SWITCH(I37,
"Rob","Robusta",
"Exc","Excelsa",
"Ara","Arabica",
"Lib","Liberica",
"")</f>
        <v>Arabica</v>
      </c>
      <c r="O37" t="str" cm="1">
        <f t="array" ref="O37">_xlfn.SWITCH(J37,
"M","Medium",
"L","Light",
"D","Dark",
"")</f>
        <v>Dark</v>
      </c>
      <c r="P37" t="str">
        <f>_xlfn.XLOOKUP(Orders[[#This Row],[Customer ID]],customers!$A$1:$A$1001,customers!$I$1:$I$1001,,0)</f>
        <v>No</v>
      </c>
    </row>
    <row r="38" spans="1:16" x14ac:dyDescent="0.35">
      <c r="A38" s="2" t="s">
        <v>693</v>
      </c>
      <c r="B38" s="4">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_xlfn.XLOOKUP(D38,products!$A$1:$A$49,products!$B$1:$B$49,,0)</f>
        <v>Lib</v>
      </c>
      <c r="J38" t="str">
        <f>_xlfn.XLOOKUP(D38,products!$A$1:$A$49,products!$C$1:$C$49,,0)</f>
        <v>M</v>
      </c>
      <c r="K38" s="7">
        <f>_xlfn.XLOOKUP(D38,products!$A$1:$A$49,products!$D$1:$D$49,,0)</f>
        <v>0.2</v>
      </c>
      <c r="L38" s="9">
        <f>_xlfn.XLOOKUP(D38,products!$A$1:$A$49,products!$E$1:$E$49,,0)</f>
        <v>4.3650000000000002</v>
      </c>
      <c r="M38" s="9">
        <f t="shared" si="0"/>
        <v>8.73</v>
      </c>
      <c r="N38" s="3" t="str" cm="1">
        <f t="array" ref="N38">_xlfn.SWITCH(I38,
"Rob","Robusta",
"Exc","Excelsa",
"Ara","Arabica",
"Lib","Liberica",
"")</f>
        <v>Liberica</v>
      </c>
      <c r="O38" t="str" cm="1">
        <f t="array" ref="O38">_xlfn.SWITCH(J38,
"M","Medium",
"L","Light",
"D","Dark",
"")</f>
        <v>Medium</v>
      </c>
      <c r="P38" t="str">
        <f>_xlfn.XLOOKUP(Orders[[#This Row],[Customer ID]],customers!$A$1:$A$1001,customers!$I$1:$I$1001,,0)</f>
        <v>No</v>
      </c>
    </row>
    <row r="39" spans="1:16" x14ac:dyDescent="0.35">
      <c r="A39" s="2" t="s">
        <v>699</v>
      </c>
      <c r="B39" s="4">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_xlfn.XLOOKUP(D39,products!$A$1:$A$49,products!$B$1:$B$49,,0)</f>
        <v>Lib</v>
      </c>
      <c r="J39" t="str">
        <f>_xlfn.XLOOKUP(D39,products!$A$1:$A$49,products!$C$1:$C$49,,0)</f>
        <v>L</v>
      </c>
      <c r="K39" s="7">
        <f>_xlfn.XLOOKUP(D39,products!$A$1:$A$49,products!$D$1:$D$49,,0)</f>
        <v>0.5</v>
      </c>
      <c r="L39" s="9">
        <f>_xlfn.XLOOKUP(D39,products!$A$1:$A$49,products!$E$1:$E$49,,0)</f>
        <v>9.51</v>
      </c>
      <c r="M39" s="9">
        <f t="shared" si="0"/>
        <v>28.53</v>
      </c>
      <c r="N39" s="3" t="str" cm="1">
        <f t="array" ref="N39">_xlfn.SWITCH(I39,
"Rob","Robusta",
"Exc","Excelsa",
"Ara","Arabica",
"Lib","Liberica",
"")</f>
        <v>Liberica</v>
      </c>
      <c r="O39" t="str" cm="1">
        <f t="array" ref="O39">_xlfn.SWITCH(J39,
"M","Medium",
"L","Light",
"D","Dark",
"")</f>
        <v>Light</v>
      </c>
      <c r="P39" t="str">
        <f>_xlfn.XLOOKUP(Orders[[#This Row],[Customer ID]],customers!$A$1:$A$1001,customers!$I$1:$I$1001,,0)</f>
        <v>No</v>
      </c>
    </row>
    <row r="40" spans="1:16" x14ac:dyDescent="0.35">
      <c r="A40" s="2" t="s">
        <v>705</v>
      </c>
      <c r="B40" s="4">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_xlfn.XLOOKUP(D40,products!$A$1:$A$49,products!$B$1:$B$49,,0)</f>
        <v>Rob</v>
      </c>
      <c r="J40" t="str">
        <f>_xlfn.XLOOKUP(D40,products!$A$1:$A$49,products!$C$1:$C$49,,0)</f>
        <v>M</v>
      </c>
      <c r="K40" s="7">
        <f>_xlfn.XLOOKUP(D40,products!$A$1:$A$49,products!$D$1:$D$49,,0)</f>
        <v>2.5</v>
      </c>
      <c r="L40" s="9">
        <f>_xlfn.XLOOKUP(D40,products!$A$1:$A$49,products!$E$1:$E$49,,0)</f>
        <v>22.884999999999998</v>
      </c>
      <c r="M40" s="9">
        <f t="shared" si="0"/>
        <v>114.42499999999998</v>
      </c>
      <c r="N40" s="3" t="str" cm="1">
        <f t="array" ref="N40">_xlfn.SWITCH(I40,
"Rob","Robusta",
"Exc","Excelsa",
"Ara","Arabica",
"Lib","Liberica",
"")</f>
        <v>Robusta</v>
      </c>
      <c r="O40" t="str" cm="1">
        <f t="array" ref="O40">_xlfn.SWITCH(J40,
"M","Medium",
"L","Light",
"D","Dark",
"")</f>
        <v>Medium</v>
      </c>
      <c r="P40" t="str">
        <f>_xlfn.XLOOKUP(Orders[[#This Row],[Customer ID]],customers!$A$1:$A$1001,customers!$I$1:$I$1001,,0)</f>
        <v>No</v>
      </c>
    </row>
    <row r="41" spans="1:16" x14ac:dyDescent="0.35">
      <c r="A41" s="2" t="s">
        <v>711</v>
      </c>
      <c r="B41" s="4">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_xlfn.XLOOKUP(D41,products!$A$1:$A$49,products!$B$1:$B$49,,0)</f>
        <v>Rob</v>
      </c>
      <c r="J41" t="str">
        <f>_xlfn.XLOOKUP(D41,products!$A$1:$A$49,products!$C$1:$C$49,,0)</f>
        <v>M</v>
      </c>
      <c r="K41" s="7">
        <f>_xlfn.XLOOKUP(D41,products!$A$1:$A$49,products!$D$1:$D$49,,0)</f>
        <v>1</v>
      </c>
      <c r="L41" s="9">
        <f>_xlfn.XLOOKUP(D41,products!$A$1:$A$49,products!$E$1:$E$49,,0)</f>
        <v>9.9499999999999993</v>
      </c>
      <c r="M41" s="9">
        <f t="shared" si="0"/>
        <v>59.699999999999996</v>
      </c>
      <c r="N41" s="3" t="str" cm="1">
        <f t="array" ref="N41">_xlfn.SWITCH(I41,
"Rob","Robusta",
"Exc","Excelsa",
"Ara","Arabica",
"Lib","Liberica",
"")</f>
        <v>Robusta</v>
      </c>
      <c r="O41" t="str" cm="1">
        <f t="array" ref="O41">_xlfn.SWITCH(J41,
"M","Medium",
"L","Light",
"D","Dark",
"")</f>
        <v>Medium</v>
      </c>
      <c r="P41" t="str">
        <f>_xlfn.XLOOKUP(Orders[[#This Row],[Customer ID]],customers!$A$1:$A$1001,customers!$I$1:$I$1001,,0)</f>
        <v>Yes</v>
      </c>
    </row>
    <row r="42" spans="1:16" x14ac:dyDescent="0.35">
      <c r="A42" s="2" t="s">
        <v>715</v>
      </c>
      <c r="B42" s="4">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_xlfn.XLOOKUP(D42,products!$A$1:$A$49,products!$B$1:$B$49,,0)</f>
        <v>Lib</v>
      </c>
      <c r="J42" t="str">
        <f>_xlfn.XLOOKUP(D42,products!$A$1:$A$49,products!$C$1:$C$49,,0)</f>
        <v>M</v>
      </c>
      <c r="K42" s="7">
        <f>_xlfn.XLOOKUP(D42,products!$A$1:$A$49,products!$D$1:$D$49,,0)</f>
        <v>1</v>
      </c>
      <c r="L42" s="9">
        <f>_xlfn.XLOOKUP(D42,products!$A$1:$A$49,products!$E$1:$E$49,,0)</f>
        <v>14.55</v>
      </c>
      <c r="M42" s="9">
        <f t="shared" si="0"/>
        <v>43.650000000000006</v>
      </c>
      <c r="N42" s="3" t="str" cm="1">
        <f t="array" ref="N42">_xlfn.SWITCH(I42,
"Rob","Robusta",
"Exc","Excelsa",
"Ara","Arabica",
"Lib","Liberica",
"")</f>
        <v>Liberica</v>
      </c>
      <c r="O42" t="str" cm="1">
        <f t="array" ref="O42">_xlfn.SWITCH(J42,
"M","Medium",
"L","Light",
"D","Dark",
"")</f>
        <v>Medium</v>
      </c>
      <c r="P42" t="str">
        <f>_xlfn.XLOOKUP(Orders[[#This Row],[Customer ID]],customers!$A$1:$A$1001,customers!$I$1:$I$1001,,0)</f>
        <v>No</v>
      </c>
    </row>
    <row r="43" spans="1:16" x14ac:dyDescent="0.35">
      <c r="A43" s="2" t="s">
        <v>720</v>
      </c>
      <c r="B43" s="4">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_xlfn.XLOOKUP(D43,products!$A$1:$A$49,products!$B$1:$B$49,,0)</f>
        <v>Exc</v>
      </c>
      <c r="J43" t="str">
        <f>_xlfn.XLOOKUP(D43,products!$A$1:$A$49,products!$C$1:$C$49,,0)</f>
        <v>D</v>
      </c>
      <c r="K43" s="7">
        <f>_xlfn.XLOOKUP(D43,products!$A$1:$A$49,products!$D$1:$D$49,,0)</f>
        <v>0.2</v>
      </c>
      <c r="L43" s="9">
        <f>_xlfn.XLOOKUP(D43,products!$A$1:$A$49,products!$E$1:$E$49,,0)</f>
        <v>3.645</v>
      </c>
      <c r="M43" s="9">
        <f t="shared" si="0"/>
        <v>7.29</v>
      </c>
      <c r="N43" s="3" t="str" cm="1">
        <f t="array" ref="N43">_xlfn.SWITCH(I43,
"Rob","Robusta",
"Exc","Excelsa",
"Ara","Arabica",
"Lib","Liberica",
"")</f>
        <v>Excelsa</v>
      </c>
      <c r="O43" t="str" cm="1">
        <f t="array" ref="O43">_xlfn.SWITCH(J43,
"M","Medium",
"L","Light",
"D","Dark",
"")</f>
        <v>Dark</v>
      </c>
      <c r="P43" t="str">
        <f>_xlfn.XLOOKUP(Orders[[#This Row],[Customer ID]],customers!$A$1:$A$1001,customers!$I$1:$I$1001,,0)</f>
        <v>Yes</v>
      </c>
    </row>
    <row r="44" spans="1:16" x14ac:dyDescent="0.35">
      <c r="A44" s="2" t="s">
        <v>726</v>
      </c>
      <c r="B44" s="4">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_xlfn.XLOOKUP(D44,products!$A$1:$A$49,products!$B$1:$B$49,,0)</f>
        <v>Rob</v>
      </c>
      <c r="J44" t="str">
        <f>_xlfn.XLOOKUP(D44,products!$A$1:$A$49,products!$C$1:$C$49,,0)</f>
        <v>D</v>
      </c>
      <c r="K44" s="7">
        <f>_xlfn.XLOOKUP(D44,products!$A$1:$A$49,products!$D$1:$D$49,,0)</f>
        <v>0.2</v>
      </c>
      <c r="L44" s="9">
        <f>_xlfn.XLOOKUP(D44,products!$A$1:$A$49,products!$E$1:$E$49,,0)</f>
        <v>2.6849999999999996</v>
      </c>
      <c r="M44" s="9">
        <f t="shared" si="0"/>
        <v>8.0549999999999997</v>
      </c>
      <c r="N44" s="3" t="str" cm="1">
        <f t="array" ref="N44">_xlfn.SWITCH(I44,
"Rob","Robusta",
"Exc","Excelsa",
"Ara","Arabica",
"Lib","Liberica",
"")</f>
        <v>Robusta</v>
      </c>
      <c r="O44" t="str" cm="1">
        <f t="array" ref="O44">_xlfn.SWITCH(J44,
"M","Medium",
"L","Light",
"D","Dark",
"")</f>
        <v>Dark</v>
      </c>
      <c r="P44" t="str">
        <f>_xlfn.XLOOKUP(Orders[[#This Row],[Customer ID]],customers!$A$1:$A$1001,customers!$I$1:$I$1001,,0)</f>
        <v>Yes</v>
      </c>
    </row>
    <row r="45" spans="1:16" x14ac:dyDescent="0.35">
      <c r="A45" s="2" t="s">
        <v>733</v>
      </c>
      <c r="B45" s="4">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_xlfn.XLOOKUP(D45,products!$A$1:$A$49,products!$B$1:$B$49,,0)</f>
        <v>Lib</v>
      </c>
      <c r="J45" t="str">
        <f>_xlfn.XLOOKUP(D45,products!$A$1:$A$49,products!$C$1:$C$49,,0)</f>
        <v>L</v>
      </c>
      <c r="K45" s="7">
        <f>_xlfn.XLOOKUP(D45,products!$A$1:$A$49,products!$D$1:$D$49,,0)</f>
        <v>2.5</v>
      </c>
      <c r="L45" s="9">
        <f>_xlfn.XLOOKUP(D45,products!$A$1:$A$49,products!$E$1:$E$49,,0)</f>
        <v>36.454999999999998</v>
      </c>
      <c r="M45" s="9">
        <f t="shared" si="0"/>
        <v>72.91</v>
      </c>
      <c r="N45" s="3" t="str" cm="1">
        <f t="array" ref="N45">_xlfn.SWITCH(I45,
"Rob","Robusta",
"Exc","Excelsa",
"Ara","Arabica",
"Lib","Liberica",
"")</f>
        <v>Liberica</v>
      </c>
      <c r="O45" t="str" cm="1">
        <f t="array" ref="O45">_xlfn.SWITCH(J45,
"M","Medium",
"L","Light",
"D","Dark",
"")</f>
        <v>Light</v>
      </c>
      <c r="P45" t="str">
        <f>_xlfn.XLOOKUP(Orders[[#This Row],[Customer ID]],customers!$A$1:$A$1001,customers!$I$1:$I$1001,,0)</f>
        <v>No</v>
      </c>
    </row>
    <row r="46" spans="1:16" x14ac:dyDescent="0.35">
      <c r="A46" s="2" t="s">
        <v>738</v>
      </c>
      <c r="B46" s="4">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_xlfn.XLOOKUP(D46,products!$A$1:$A$49,products!$B$1:$B$49,,0)</f>
        <v>Exc</v>
      </c>
      <c r="J46" t="str">
        <f>_xlfn.XLOOKUP(D46,products!$A$1:$A$49,products!$C$1:$C$49,,0)</f>
        <v>M</v>
      </c>
      <c r="K46" s="7">
        <f>_xlfn.XLOOKUP(D46,products!$A$1:$A$49,products!$D$1:$D$49,,0)</f>
        <v>0.5</v>
      </c>
      <c r="L46" s="9">
        <f>_xlfn.XLOOKUP(D46,products!$A$1:$A$49,products!$E$1:$E$49,,0)</f>
        <v>8.25</v>
      </c>
      <c r="M46" s="9">
        <f t="shared" si="0"/>
        <v>16.5</v>
      </c>
      <c r="N46" s="3" t="str" cm="1">
        <f t="array" ref="N46">_xlfn.SWITCH(I46,
"Rob","Robusta",
"Exc","Excelsa",
"Ara","Arabica",
"Lib","Liberica",
"")</f>
        <v>Excelsa</v>
      </c>
      <c r="O46" t="str" cm="1">
        <f t="array" ref="O46">_xlfn.SWITCH(J46,
"M","Medium",
"L","Light",
"D","Dark",
"")</f>
        <v>Medium</v>
      </c>
      <c r="P46" t="str">
        <f>_xlfn.XLOOKUP(Orders[[#This Row],[Customer ID]],customers!$A$1:$A$1001,customers!$I$1:$I$1001,,0)</f>
        <v>Yes</v>
      </c>
    </row>
    <row r="47" spans="1:16" x14ac:dyDescent="0.35">
      <c r="A47" s="2" t="s">
        <v>744</v>
      </c>
      <c r="B47" s="4">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_xlfn.XLOOKUP(D47,products!$A$1:$A$49,products!$B$1:$B$49,,0)</f>
        <v>Lib</v>
      </c>
      <c r="J47" t="str">
        <f>_xlfn.XLOOKUP(D47,products!$A$1:$A$49,products!$C$1:$C$49,,0)</f>
        <v>D</v>
      </c>
      <c r="K47" s="7">
        <f>_xlfn.XLOOKUP(D47,products!$A$1:$A$49,products!$D$1:$D$49,,0)</f>
        <v>2.5</v>
      </c>
      <c r="L47" s="9">
        <f>_xlfn.XLOOKUP(D47,products!$A$1:$A$49,products!$E$1:$E$49,,0)</f>
        <v>29.784999999999997</v>
      </c>
      <c r="M47" s="9">
        <f t="shared" si="0"/>
        <v>178.70999999999998</v>
      </c>
      <c r="N47" s="3" t="str" cm="1">
        <f t="array" ref="N47">_xlfn.SWITCH(I47,
"Rob","Robusta",
"Exc","Excelsa",
"Ara","Arabica",
"Lib","Liberica",
"")</f>
        <v>Liberica</v>
      </c>
      <c r="O47" t="str" cm="1">
        <f t="array" ref="O47">_xlfn.SWITCH(J47,
"M","Medium",
"L","Light",
"D","Dark",
"")</f>
        <v>Dark</v>
      </c>
      <c r="P47" t="str">
        <f>_xlfn.XLOOKUP(Orders[[#This Row],[Customer ID]],customers!$A$1:$A$1001,customers!$I$1:$I$1001,,0)</f>
        <v>No</v>
      </c>
    </row>
    <row r="48" spans="1:16" x14ac:dyDescent="0.35">
      <c r="A48" s="2" t="s">
        <v>750</v>
      </c>
      <c r="B48" s="4">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_xlfn.XLOOKUP(D48,products!$A$1:$A$49,products!$B$1:$B$49,,0)</f>
        <v>Exc</v>
      </c>
      <c r="J48" t="str">
        <f>_xlfn.XLOOKUP(D48,products!$A$1:$A$49,products!$C$1:$C$49,,0)</f>
        <v>M</v>
      </c>
      <c r="K48" s="7">
        <f>_xlfn.XLOOKUP(D48,products!$A$1:$A$49,products!$D$1:$D$49,,0)</f>
        <v>2.5</v>
      </c>
      <c r="L48" s="9">
        <f>_xlfn.XLOOKUP(D48,products!$A$1:$A$49,products!$E$1:$E$49,,0)</f>
        <v>31.624999999999996</v>
      </c>
      <c r="M48" s="9">
        <f t="shared" si="0"/>
        <v>63.249999999999993</v>
      </c>
      <c r="N48" s="3" t="str" cm="1">
        <f t="array" ref="N48">_xlfn.SWITCH(I48,
"Rob","Robusta",
"Exc","Excelsa",
"Ara","Arabica",
"Lib","Liberica",
"")</f>
        <v>Excelsa</v>
      </c>
      <c r="O48" t="str" cm="1">
        <f t="array" ref="O48">_xlfn.SWITCH(J48,
"M","Medium",
"L","Light",
"D","Dark",
"")</f>
        <v>Medium</v>
      </c>
      <c r="P48" t="str">
        <f>_xlfn.XLOOKUP(Orders[[#This Row],[Customer ID]],customers!$A$1:$A$1001,customers!$I$1:$I$1001,,0)</f>
        <v>Yes</v>
      </c>
    </row>
    <row r="49" spans="1:16" x14ac:dyDescent="0.35">
      <c r="A49" s="2" t="s">
        <v>755</v>
      </c>
      <c r="B49" s="4">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_xlfn.XLOOKUP(D49,products!$A$1:$A$49,products!$B$1:$B$49,,0)</f>
        <v>Ara</v>
      </c>
      <c r="J49" t="str">
        <f>_xlfn.XLOOKUP(D49,products!$A$1:$A$49,products!$C$1:$C$49,,0)</f>
        <v>L</v>
      </c>
      <c r="K49" s="7">
        <f>_xlfn.XLOOKUP(D49,products!$A$1:$A$49,products!$D$1:$D$49,,0)</f>
        <v>0.2</v>
      </c>
      <c r="L49" s="9">
        <f>_xlfn.XLOOKUP(D49,products!$A$1:$A$49,products!$E$1:$E$49,,0)</f>
        <v>3.8849999999999998</v>
      </c>
      <c r="M49" s="9">
        <f t="shared" si="0"/>
        <v>7.77</v>
      </c>
      <c r="N49" s="3" t="str" cm="1">
        <f t="array" ref="N49">_xlfn.SWITCH(I49,
"Rob","Robusta",
"Exc","Excelsa",
"Ara","Arabica",
"Lib","Liberica",
"")</f>
        <v>Arabica</v>
      </c>
      <c r="O49" t="str" cm="1">
        <f t="array" ref="O49">_xlfn.SWITCH(J49,
"M","Medium",
"L","Light",
"D","Dark",
"")</f>
        <v>Light</v>
      </c>
      <c r="P49" t="str">
        <f>_xlfn.XLOOKUP(Orders[[#This Row],[Customer ID]],customers!$A$1:$A$1001,customers!$I$1:$I$1001,,0)</f>
        <v>Yes</v>
      </c>
    </row>
    <row r="50" spans="1:16" x14ac:dyDescent="0.35">
      <c r="A50" s="2" t="s">
        <v>761</v>
      </c>
      <c r="B50" s="4">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_xlfn.XLOOKUP(D50,products!$A$1:$A$49,products!$B$1:$B$49,,0)</f>
        <v>Ara</v>
      </c>
      <c r="J50" t="str">
        <f>_xlfn.XLOOKUP(D50,products!$A$1:$A$49,products!$C$1:$C$49,,0)</f>
        <v>D</v>
      </c>
      <c r="K50" s="7">
        <f>_xlfn.XLOOKUP(D50,products!$A$1:$A$49,products!$D$1:$D$49,,0)</f>
        <v>2.5</v>
      </c>
      <c r="L50" s="9">
        <f>_xlfn.XLOOKUP(D50,products!$A$1:$A$49,products!$E$1:$E$49,,0)</f>
        <v>22.884999999999998</v>
      </c>
      <c r="M50" s="9">
        <f t="shared" si="0"/>
        <v>91.539999999999992</v>
      </c>
      <c r="N50" s="3" t="str" cm="1">
        <f t="array" ref="N50">_xlfn.SWITCH(I50,
"Rob","Robusta",
"Exc","Excelsa",
"Ara","Arabica",
"Lib","Liberica",
"")</f>
        <v>Arabica</v>
      </c>
      <c r="O50" t="str" cm="1">
        <f t="array" ref="O50">_xlfn.SWITCH(J50,
"M","Medium",
"L","Light",
"D","Dark",
"")</f>
        <v>Dark</v>
      </c>
      <c r="P50" t="str">
        <f>_xlfn.XLOOKUP(Orders[[#This Row],[Customer ID]],customers!$A$1:$A$1001,customers!$I$1:$I$1001,,0)</f>
        <v>No</v>
      </c>
    </row>
    <row r="51" spans="1:16" x14ac:dyDescent="0.35">
      <c r="A51" s="2" t="s">
        <v>766</v>
      </c>
      <c r="B51" s="4">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_xlfn.XLOOKUP(D51,products!$A$1:$A$49,products!$B$1:$B$49,,0)</f>
        <v>Ara</v>
      </c>
      <c r="J51" t="str">
        <f>_xlfn.XLOOKUP(D51,products!$A$1:$A$49,products!$C$1:$C$49,,0)</f>
        <v>L</v>
      </c>
      <c r="K51" s="7">
        <f>_xlfn.XLOOKUP(D51,products!$A$1:$A$49,products!$D$1:$D$49,,0)</f>
        <v>1</v>
      </c>
      <c r="L51" s="9">
        <f>_xlfn.XLOOKUP(D51,products!$A$1:$A$49,products!$E$1:$E$49,,0)</f>
        <v>12.95</v>
      </c>
      <c r="M51" s="9">
        <f t="shared" si="0"/>
        <v>38.849999999999994</v>
      </c>
      <c r="N51" s="3" t="str" cm="1">
        <f t="array" ref="N51">_xlfn.SWITCH(I51,
"Rob","Robusta",
"Exc","Excelsa",
"Ara","Arabica",
"Lib","Liberica",
"")</f>
        <v>Arabica</v>
      </c>
      <c r="O51" t="str" cm="1">
        <f t="array" ref="O51">_xlfn.SWITCH(J51,
"M","Medium",
"L","Light",
"D","Dark",
"")</f>
        <v>Light</v>
      </c>
      <c r="P51" t="str">
        <f>_xlfn.XLOOKUP(Orders[[#This Row],[Customer ID]],customers!$A$1:$A$1001,customers!$I$1:$I$1001,,0)</f>
        <v>No</v>
      </c>
    </row>
    <row r="52" spans="1:16" x14ac:dyDescent="0.35">
      <c r="A52" s="2" t="s">
        <v>772</v>
      </c>
      <c r="B52" s="4">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_xlfn.XLOOKUP(D52,products!$A$1:$A$49,products!$B$1:$B$49,,0)</f>
        <v>Lib</v>
      </c>
      <c r="J52" t="str">
        <f>_xlfn.XLOOKUP(D52,products!$A$1:$A$49,products!$C$1:$C$49,,0)</f>
        <v>D</v>
      </c>
      <c r="K52" s="7">
        <f>_xlfn.XLOOKUP(D52,products!$A$1:$A$49,products!$D$1:$D$49,,0)</f>
        <v>0.5</v>
      </c>
      <c r="L52" s="9">
        <f>_xlfn.XLOOKUP(D52,products!$A$1:$A$49,products!$E$1:$E$49,,0)</f>
        <v>7.77</v>
      </c>
      <c r="M52" s="9">
        <f t="shared" si="0"/>
        <v>15.54</v>
      </c>
      <c r="N52" s="3" t="str" cm="1">
        <f t="array" ref="N52">_xlfn.SWITCH(I52,
"Rob","Robusta",
"Exc","Excelsa",
"Ara","Arabica",
"Lib","Liberica",
"")</f>
        <v>Liberica</v>
      </c>
      <c r="O52" t="str" cm="1">
        <f t="array" ref="O52">_xlfn.SWITCH(J52,
"M","Medium",
"L","Light",
"D","Dark",
"")</f>
        <v>Dark</v>
      </c>
      <c r="P52" t="str">
        <f>_xlfn.XLOOKUP(Orders[[#This Row],[Customer ID]],customers!$A$1:$A$1001,customers!$I$1:$I$1001,,0)</f>
        <v>No</v>
      </c>
    </row>
    <row r="53" spans="1:16" x14ac:dyDescent="0.35">
      <c r="A53" s="2" t="s">
        <v>778</v>
      </c>
      <c r="B53" s="4">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_xlfn.XLOOKUP(D53,products!$A$1:$A$49,products!$B$1:$B$49,,0)</f>
        <v>Lib</v>
      </c>
      <c r="J53" t="str">
        <f>_xlfn.XLOOKUP(D53,products!$A$1:$A$49,products!$C$1:$C$49,,0)</f>
        <v>L</v>
      </c>
      <c r="K53" s="7">
        <f>_xlfn.XLOOKUP(D53,products!$A$1:$A$49,products!$D$1:$D$49,,0)</f>
        <v>2.5</v>
      </c>
      <c r="L53" s="9">
        <f>_xlfn.XLOOKUP(D53,products!$A$1:$A$49,products!$E$1:$E$49,,0)</f>
        <v>36.454999999999998</v>
      </c>
      <c r="M53" s="9">
        <f t="shared" si="0"/>
        <v>145.82</v>
      </c>
      <c r="N53" s="3" t="str" cm="1">
        <f t="array" ref="N53">_xlfn.SWITCH(I53,
"Rob","Robusta",
"Exc","Excelsa",
"Ara","Arabica",
"Lib","Liberica",
"")</f>
        <v>Liberica</v>
      </c>
      <c r="O53" t="str" cm="1">
        <f t="array" ref="O53">_xlfn.SWITCH(J53,
"M","Medium",
"L","Light",
"D","Dark",
"")</f>
        <v>Light</v>
      </c>
      <c r="P53" t="str">
        <f>_xlfn.XLOOKUP(Orders[[#This Row],[Customer ID]],customers!$A$1:$A$1001,customers!$I$1:$I$1001,,0)</f>
        <v>Yes</v>
      </c>
    </row>
    <row r="54" spans="1:16" x14ac:dyDescent="0.35">
      <c r="A54" s="2" t="s">
        <v>784</v>
      </c>
      <c r="B54" s="4">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_xlfn.XLOOKUP(D54,products!$A$1:$A$49,products!$B$1:$B$49,,0)</f>
        <v>Rob</v>
      </c>
      <c r="J54" t="str">
        <f>_xlfn.XLOOKUP(D54,products!$A$1:$A$49,products!$C$1:$C$49,,0)</f>
        <v>M</v>
      </c>
      <c r="K54" s="7">
        <f>_xlfn.XLOOKUP(D54,products!$A$1:$A$49,products!$D$1:$D$49,,0)</f>
        <v>0.5</v>
      </c>
      <c r="L54" s="9">
        <f>_xlfn.XLOOKUP(D54,products!$A$1:$A$49,products!$E$1:$E$49,,0)</f>
        <v>5.97</v>
      </c>
      <c r="M54" s="9">
        <f t="shared" si="0"/>
        <v>29.849999999999998</v>
      </c>
      <c r="N54" s="3" t="str" cm="1">
        <f t="array" ref="N54">_xlfn.SWITCH(I54,
"Rob","Robusta",
"Exc","Excelsa",
"Ara","Arabica",
"Lib","Liberica",
"")</f>
        <v>Robusta</v>
      </c>
      <c r="O54" t="str" cm="1">
        <f t="array" ref="O54">_xlfn.SWITCH(J54,
"M","Medium",
"L","Light",
"D","Dark",
"")</f>
        <v>Medium</v>
      </c>
      <c r="P54" t="str">
        <f>_xlfn.XLOOKUP(Orders[[#This Row],[Customer ID]],customers!$A$1:$A$1001,customers!$I$1:$I$1001,,0)</f>
        <v>No</v>
      </c>
    </row>
    <row r="55" spans="1:16" x14ac:dyDescent="0.35">
      <c r="A55" s="2" t="s">
        <v>784</v>
      </c>
      <c r="B55" s="4">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_xlfn.XLOOKUP(D55,products!$A$1:$A$49,products!$B$1:$B$49,,0)</f>
        <v>Lib</v>
      </c>
      <c r="J55" t="str">
        <f>_xlfn.XLOOKUP(D55,products!$A$1:$A$49,products!$C$1:$C$49,,0)</f>
        <v>L</v>
      </c>
      <c r="K55" s="7">
        <f>_xlfn.XLOOKUP(D55,products!$A$1:$A$49,products!$D$1:$D$49,,0)</f>
        <v>2.5</v>
      </c>
      <c r="L55" s="9">
        <f>_xlfn.XLOOKUP(D55,products!$A$1:$A$49,products!$E$1:$E$49,,0)</f>
        <v>36.454999999999998</v>
      </c>
      <c r="M55" s="9">
        <f t="shared" si="0"/>
        <v>72.91</v>
      </c>
      <c r="N55" s="3" t="str" cm="1">
        <f t="array" ref="N55">_xlfn.SWITCH(I55,
"Rob","Robusta",
"Exc","Excelsa",
"Ara","Arabica",
"Lib","Liberica",
"")</f>
        <v>Liberica</v>
      </c>
      <c r="O55" t="str" cm="1">
        <f t="array" ref="O55">_xlfn.SWITCH(J55,
"M","Medium",
"L","Light",
"D","Dark",
"")</f>
        <v>Light</v>
      </c>
      <c r="P55" t="str">
        <f>_xlfn.XLOOKUP(Orders[[#This Row],[Customer ID]],customers!$A$1:$A$1001,customers!$I$1:$I$1001,,0)</f>
        <v>No</v>
      </c>
    </row>
    <row r="56" spans="1:16" x14ac:dyDescent="0.35">
      <c r="A56" s="2" t="s">
        <v>794</v>
      </c>
      <c r="B56" s="4">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_xlfn.XLOOKUP(D56,products!$A$1:$A$49,products!$B$1:$B$49,,0)</f>
        <v>Lib</v>
      </c>
      <c r="J56" t="str">
        <f>_xlfn.XLOOKUP(D56,products!$A$1:$A$49,products!$C$1:$C$49,,0)</f>
        <v>M</v>
      </c>
      <c r="K56" s="7">
        <f>_xlfn.XLOOKUP(D56,products!$A$1:$A$49,products!$D$1:$D$49,,0)</f>
        <v>1</v>
      </c>
      <c r="L56" s="9">
        <f>_xlfn.XLOOKUP(D56,products!$A$1:$A$49,products!$E$1:$E$49,,0)</f>
        <v>14.55</v>
      </c>
      <c r="M56" s="9">
        <f t="shared" si="0"/>
        <v>72.75</v>
      </c>
      <c r="N56" s="3" t="str" cm="1">
        <f t="array" ref="N56">_xlfn.SWITCH(I56,
"Rob","Robusta",
"Exc","Excelsa",
"Ara","Arabica",
"Lib","Liberica",
"")</f>
        <v>Liberica</v>
      </c>
      <c r="O56" t="str" cm="1">
        <f t="array" ref="O56">_xlfn.SWITCH(J56,
"M","Medium",
"L","Light",
"D","Dark",
"")</f>
        <v>Medium</v>
      </c>
      <c r="P56" t="str">
        <f>_xlfn.XLOOKUP(Orders[[#This Row],[Customer ID]],customers!$A$1:$A$1001,customers!$I$1:$I$1001,,0)</f>
        <v>No</v>
      </c>
    </row>
    <row r="57" spans="1:16" x14ac:dyDescent="0.35">
      <c r="A57" s="2" t="s">
        <v>800</v>
      </c>
      <c r="B57" s="4">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_xlfn.XLOOKUP(D57,products!$A$1:$A$49,products!$B$1:$B$49,,0)</f>
        <v>Lib</v>
      </c>
      <c r="J57" t="str">
        <f>_xlfn.XLOOKUP(D57,products!$A$1:$A$49,products!$C$1:$C$49,,0)</f>
        <v>L</v>
      </c>
      <c r="K57" s="7">
        <f>_xlfn.XLOOKUP(D57,products!$A$1:$A$49,products!$D$1:$D$49,,0)</f>
        <v>1</v>
      </c>
      <c r="L57" s="9">
        <f>_xlfn.XLOOKUP(D57,products!$A$1:$A$49,products!$E$1:$E$49,,0)</f>
        <v>15.85</v>
      </c>
      <c r="M57" s="9">
        <f t="shared" si="0"/>
        <v>47.55</v>
      </c>
      <c r="N57" s="3" t="str" cm="1">
        <f t="array" ref="N57">_xlfn.SWITCH(I57,
"Rob","Robusta",
"Exc","Excelsa",
"Ara","Arabica",
"Lib","Liberica",
"")</f>
        <v>Liberica</v>
      </c>
      <c r="O57" t="str" cm="1">
        <f t="array" ref="O57">_xlfn.SWITCH(J57,
"M","Medium",
"L","Light",
"D","Dark",
"")</f>
        <v>Light</v>
      </c>
      <c r="P57" t="str">
        <f>_xlfn.XLOOKUP(Orders[[#This Row],[Customer ID]],customers!$A$1:$A$1001,customers!$I$1:$I$1001,,0)</f>
        <v>No</v>
      </c>
    </row>
    <row r="58" spans="1:16" x14ac:dyDescent="0.35">
      <c r="A58" s="2" t="s">
        <v>805</v>
      </c>
      <c r="B58" s="4">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_xlfn.XLOOKUP(D58,products!$A$1:$A$49,products!$B$1:$B$49,,0)</f>
        <v>Exc</v>
      </c>
      <c r="J58" t="str">
        <f>_xlfn.XLOOKUP(D58,products!$A$1:$A$49,products!$C$1:$C$49,,0)</f>
        <v>D</v>
      </c>
      <c r="K58" s="7">
        <f>_xlfn.XLOOKUP(D58,products!$A$1:$A$49,products!$D$1:$D$49,,0)</f>
        <v>0.2</v>
      </c>
      <c r="L58" s="9">
        <f>_xlfn.XLOOKUP(D58,products!$A$1:$A$49,products!$E$1:$E$49,,0)</f>
        <v>3.645</v>
      </c>
      <c r="M58" s="9">
        <f t="shared" si="0"/>
        <v>10.935</v>
      </c>
      <c r="N58" s="3" t="str" cm="1">
        <f t="array" ref="N58">_xlfn.SWITCH(I58,
"Rob","Robusta",
"Exc","Excelsa",
"Ara","Arabica",
"Lib","Liberica",
"")</f>
        <v>Excelsa</v>
      </c>
      <c r="O58" t="str" cm="1">
        <f t="array" ref="O58">_xlfn.SWITCH(J58,
"M","Medium",
"L","Light",
"D","Dark",
"")</f>
        <v>Dark</v>
      </c>
      <c r="P58" t="str">
        <f>_xlfn.XLOOKUP(Orders[[#This Row],[Customer ID]],customers!$A$1:$A$1001,customers!$I$1:$I$1001,,0)</f>
        <v>Yes</v>
      </c>
    </row>
    <row r="59" spans="1:16" x14ac:dyDescent="0.35">
      <c r="A59" s="2" t="s">
        <v>811</v>
      </c>
      <c r="B59" s="4">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_xlfn.XLOOKUP(D59,products!$A$1:$A$49,products!$B$1:$B$49,,0)</f>
        <v>Exc</v>
      </c>
      <c r="J59" t="str">
        <f>_xlfn.XLOOKUP(D59,products!$A$1:$A$49,products!$C$1:$C$49,,0)</f>
        <v>L</v>
      </c>
      <c r="K59" s="7">
        <f>_xlfn.XLOOKUP(D59,products!$A$1:$A$49,products!$D$1:$D$49,,0)</f>
        <v>1</v>
      </c>
      <c r="L59" s="9">
        <f>_xlfn.XLOOKUP(D59,products!$A$1:$A$49,products!$E$1:$E$49,,0)</f>
        <v>14.85</v>
      </c>
      <c r="M59" s="9">
        <f t="shared" si="0"/>
        <v>59.4</v>
      </c>
      <c r="N59" s="3" t="str" cm="1">
        <f t="array" ref="N59">_xlfn.SWITCH(I59,
"Rob","Robusta",
"Exc","Excelsa",
"Ara","Arabica",
"Lib","Liberica",
"")</f>
        <v>Excelsa</v>
      </c>
      <c r="O59" t="str" cm="1">
        <f t="array" ref="O59">_xlfn.SWITCH(J59,
"M","Medium",
"L","Light",
"D","Dark",
"")</f>
        <v>Light</v>
      </c>
      <c r="P59" t="str">
        <f>_xlfn.XLOOKUP(Orders[[#This Row],[Customer ID]],customers!$A$1:$A$1001,customers!$I$1:$I$1001,,0)</f>
        <v>No</v>
      </c>
    </row>
    <row r="60" spans="1:16" x14ac:dyDescent="0.35">
      <c r="A60" s="2" t="s">
        <v>817</v>
      </c>
      <c r="B60" s="4">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_xlfn.XLOOKUP(D60,products!$A$1:$A$49,products!$B$1:$B$49,,0)</f>
        <v>Lib</v>
      </c>
      <c r="J60" t="str">
        <f>_xlfn.XLOOKUP(D60,products!$A$1:$A$49,products!$C$1:$C$49,,0)</f>
        <v>D</v>
      </c>
      <c r="K60" s="7">
        <f>_xlfn.XLOOKUP(D60,products!$A$1:$A$49,products!$D$1:$D$49,,0)</f>
        <v>2.5</v>
      </c>
      <c r="L60" s="9">
        <f>_xlfn.XLOOKUP(D60,products!$A$1:$A$49,products!$E$1:$E$49,,0)</f>
        <v>29.784999999999997</v>
      </c>
      <c r="M60" s="9">
        <f t="shared" si="0"/>
        <v>89.35499999999999</v>
      </c>
      <c r="N60" s="3" t="str" cm="1">
        <f t="array" ref="N60">_xlfn.SWITCH(I60,
"Rob","Robusta",
"Exc","Excelsa",
"Ara","Arabica",
"Lib","Liberica",
"")</f>
        <v>Liberica</v>
      </c>
      <c r="O60" t="str" cm="1">
        <f t="array" ref="O60">_xlfn.SWITCH(J60,
"M","Medium",
"L","Light",
"D","Dark",
"")</f>
        <v>Dark</v>
      </c>
      <c r="P60" t="str">
        <f>_xlfn.XLOOKUP(Orders[[#This Row],[Customer ID]],customers!$A$1:$A$1001,customers!$I$1:$I$1001,,0)</f>
        <v>Yes</v>
      </c>
    </row>
    <row r="61" spans="1:16" x14ac:dyDescent="0.35">
      <c r="A61" s="2" t="s">
        <v>822</v>
      </c>
      <c r="B61" s="4">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_xlfn.XLOOKUP(D61,products!$A$1:$A$49,products!$B$1:$B$49,,0)</f>
        <v>Lib</v>
      </c>
      <c r="J61" t="str">
        <f>_xlfn.XLOOKUP(D61,products!$A$1:$A$49,products!$C$1:$C$49,,0)</f>
        <v>M</v>
      </c>
      <c r="K61" s="7">
        <f>_xlfn.XLOOKUP(D61,products!$A$1:$A$49,products!$D$1:$D$49,,0)</f>
        <v>0.5</v>
      </c>
      <c r="L61" s="9">
        <f>_xlfn.XLOOKUP(D61,products!$A$1:$A$49,products!$E$1:$E$49,,0)</f>
        <v>8.73</v>
      </c>
      <c r="M61" s="9">
        <f t="shared" si="0"/>
        <v>26.19</v>
      </c>
      <c r="N61" s="3" t="str" cm="1">
        <f t="array" ref="N61">_xlfn.SWITCH(I61,
"Rob","Robusta",
"Exc","Excelsa",
"Ara","Arabica",
"Lib","Liberica",
"")</f>
        <v>Liberica</v>
      </c>
      <c r="O61" t="str" cm="1">
        <f t="array" ref="O61">_xlfn.SWITCH(J61,
"M","Medium",
"L","Light",
"D","Dark",
"")</f>
        <v>Medium</v>
      </c>
      <c r="P61" t="str">
        <f>_xlfn.XLOOKUP(Orders[[#This Row],[Customer ID]],customers!$A$1:$A$1001,customers!$I$1:$I$1001,,0)</f>
        <v>Yes</v>
      </c>
    </row>
    <row r="62" spans="1:16" x14ac:dyDescent="0.35">
      <c r="A62" s="2" t="s">
        <v>827</v>
      </c>
      <c r="B62" s="4">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_xlfn.XLOOKUP(D62,products!$A$1:$A$49,products!$B$1:$B$49,,0)</f>
        <v>Ara</v>
      </c>
      <c r="J62" t="str">
        <f>_xlfn.XLOOKUP(D62,products!$A$1:$A$49,products!$C$1:$C$49,,0)</f>
        <v>D</v>
      </c>
      <c r="K62" s="7">
        <f>_xlfn.XLOOKUP(D62,products!$A$1:$A$49,products!$D$1:$D$49,,0)</f>
        <v>2.5</v>
      </c>
      <c r="L62" s="9">
        <f>_xlfn.XLOOKUP(D62,products!$A$1:$A$49,products!$E$1:$E$49,,0)</f>
        <v>22.884999999999998</v>
      </c>
      <c r="M62" s="9">
        <f t="shared" si="0"/>
        <v>114.42499999999998</v>
      </c>
      <c r="N62" s="3" t="str" cm="1">
        <f t="array" ref="N62">_xlfn.SWITCH(I62,
"Rob","Robusta",
"Exc","Excelsa",
"Ara","Arabica",
"Lib","Liberica",
"")</f>
        <v>Arabica</v>
      </c>
      <c r="O62" t="str" cm="1">
        <f t="array" ref="O62">_xlfn.SWITCH(J62,
"M","Medium",
"L","Light",
"D","Dark",
"")</f>
        <v>Dark</v>
      </c>
      <c r="P62" t="str">
        <f>_xlfn.XLOOKUP(Orders[[#This Row],[Customer ID]],customers!$A$1:$A$1001,customers!$I$1:$I$1001,,0)</f>
        <v>No</v>
      </c>
    </row>
    <row r="63" spans="1:16" x14ac:dyDescent="0.35">
      <c r="A63" s="2" t="s">
        <v>833</v>
      </c>
      <c r="B63" s="4">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_xlfn.XLOOKUP(D63,products!$A$1:$A$49,products!$B$1:$B$49,,0)</f>
        <v>Rob</v>
      </c>
      <c r="J63" t="str">
        <f>_xlfn.XLOOKUP(D63,products!$A$1:$A$49,products!$C$1:$C$49,,0)</f>
        <v>D</v>
      </c>
      <c r="K63" s="7">
        <f>_xlfn.XLOOKUP(D63,products!$A$1:$A$49,products!$D$1:$D$49,,0)</f>
        <v>0.5</v>
      </c>
      <c r="L63" s="9">
        <f>_xlfn.XLOOKUP(D63,products!$A$1:$A$49,products!$E$1:$E$49,,0)</f>
        <v>5.3699999999999992</v>
      </c>
      <c r="M63" s="9">
        <f t="shared" si="0"/>
        <v>26.849999999999994</v>
      </c>
      <c r="N63" s="3" t="str" cm="1">
        <f t="array" ref="N63">_xlfn.SWITCH(I63,
"Rob","Robusta",
"Exc","Excelsa",
"Ara","Arabica",
"Lib","Liberica",
"")</f>
        <v>Robusta</v>
      </c>
      <c r="O63" t="str" cm="1">
        <f t="array" ref="O63">_xlfn.SWITCH(J63,
"M","Medium",
"L","Light",
"D","Dark",
"")</f>
        <v>Dark</v>
      </c>
      <c r="P63" t="str">
        <f>_xlfn.XLOOKUP(Orders[[#This Row],[Customer ID]],customers!$A$1:$A$1001,customers!$I$1:$I$1001,,0)</f>
        <v>Yes</v>
      </c>
    </row>
    <row r="64" spans="1:16" x14ac:dyDescent="0.35">
      <c r="A64" s="2" t="s">
        <v>838</v>
      </c>
      <c r="B64" s="4">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_xlfn.XLOOKUP(D64,products!$A$1:$A$49,products!$B$1:$B$49,,0)</f>
        <v>Lib</v>
      </c>
      <c r="J64" t="str">
        <f>_xlfn.XLOOKUP(D64,products!$A$1:$A$49,products!$C$1:$C$49,,0)</f>
        <v>L</v>
      </c>
      <c r="K64" s="7">
        <f>_xlfn.XLOOKUP(D64,products!$A$1:$A$49,products!$D$1:$D$49,,0)</f>
        <v>0.2</v>
      </c>
      <c r="L64" s="9">
        <f>_xlfn.XLOOKUP(D64,products!$A$1:$A$49,products!$E$1:$E$49,,0)</f>
        <v>4.7549999999999999</v>
      </c>
      <c r="M64" s="9">
        <f t="shared" si="0"/>
        <v>23.774999999999999</v>
      </c>
      <c r="N64" s="3" t="str" cm="1">
        <f t="array" ref="N64">_xlfn.SWITCH(I64,
"Rob","Robusta",
"Exc","Excelsa",
"Ara","Arabica",
"Lib","Liberica",
"")</f>
        <v>Liberica</v>
      </c>
      <c r="O64" t="str" cm="1">
        <f t="array" ref="O64">_xlfn.SWITCH(J64,
"M","Medium",
"L","Light",
"D","Dark",
"")</f>
        <v>Light</v>
      </c>
      <c r="P64" t="str">
        <f>_xlfn.XLOOKUP(Orders[[#This Row],[Customer ID]],customers!$A$1:$A$1001,customers!$I$1:$I$1001,,0)</f>
        <v>Yes</v>
      </c>
    </row>
    <row r="65" spans="1:16" x14ac:dyDescent="0.35">
      <c r="A65" s="2" t="s">
        <v>843</v>
      </c>
      <c r="B65" s="4">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_xlfn.XLOOKUP(D65,products!$A$1:$A$49,products!$B$1:$B$49,,0)</f>
        <v>Ara</v>
      </c>
      <c r="J65" t="str">
        <f>_xlfn.XLOOKUP(D65,products!$A$1:$A$49,products!$C$1:$C$49,,0)</f>
        <v>M</v>
      </c>
      <c r="K65" s="7">
        <f>_xlfn.XLOOKUP(D65,products!$A$1:$A$49,products!$D$1:$D$49,,0)</f>
        <v>0.5</v>
      </c>
      <c r="L65" s="9">
        <f>_xlfn.XLOOKUP(D65,products!$A$1:$A$49,products!$E$1:$E$49,,0)</f>
        <v>6.75</v>
      </c>
      <c r="M65" s="9">
        <f t="shared" si="0"/>
        <v>6.75</v>
      </c>
      <c r="N65" s="3" t="str" cm="1">
        <f t="array" ref="N65">_xlfn.SWITCH(I65,
"Rob","Robusta",
"Exc","Excelsa",
"Ara","Arabica",
"Lib","Liberica",
"")</f>
        <v>Arabica</v>
      </c>
      <c r="O65" t="str" cm="1">
        <f t="array" ref="O65">_xlfn.SWITCH(J65,
"M","Medium",
"L","Light",
"D","Dark",
"")</f>
        <v>Medium</v>
      </c>
      <c r="P65" t="str">
        <f>_xlfn.XLOOKUP(Orders[[#This Row],[Customer ID]],customers!$A$1:$A$1001,customers!$I$1:$I$1001,,0)</f>
        <v>No</v>
      </c>
    </row>
    <row r="66" spans="1:16" x14ac:dyDescent="0.35">
      <c r="A66" s="2" t="s">
        <v>849</v>
      </c>
      <c r="B66" s="4">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_xlfn.XLOOKUP(D66,products!$A$1:$A$49,products!$B$1:$B$49,,0)</f>
        <v>Rob</v>
      </c>
      <c r="J66" t="str">
        <f>_xlfn.XLOOKUP(D66,products!$A$1:$A$49,products!$C$1:$C$49,,0)</f>
        <v>M</v>
      </c>
      <c r="K66" s="7">
        <f>_xlfn.XLOOKUP(D66,products!$A$1:$A$49,products!$D$1:$D$49,,0)</f>
        <v>0.5</v>
      </c>
      <c r="L66" s="9">
        <f>_xlfn.XLOOKUP(D66,products!$A$1:$A$49,products!$E$1:$E$49,,0)</f>
        <v>5.97</v>
      </c>
      <c r="M66" s="9">
        <f t="shared" si="0"/>
        <v>35.82</v>
      </c>
      <c r="N66" s="3" t="str" cm="1">
        <f t="array" ref="N66">_xlfn.SWITCH(I66,
"Rob","Robusta",
"Exc","Excelsa",
"Ara","Arabica",
"Lib","Liberica",
"")</f>
        <v>Robusta</v>
      </c>
      <c r="O66" t="str" cm="1">
        <f t="array" ref="O66">_xlfn.SWITCH(J66,
"M","Medium",
"L","Light",
"D","Dark",
"")</f>
        <v>Medium</v>
      </c>
      <c r="P66" t="str">
        <f>_xlfn.XLOOKUP(Orders[[#This Row],[Customer ID]],customers!$A$1:$A$1001,customers!$I$1:$I$1001,,0)</f>
        <v>Yes</v>
      </c>
    </row>
    <row r="67" spans="1:16" x14ac:dyDescent="0.35">
      <c r="A67" s="2" t="s">
        <v>854</v>
      </c>
      <c r="B67" s="4">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_xlfn.XLOOKUP(D67,products!$A$1:$A$49,products!$B$1:$B$49,,0)</f>
        <v>Rob</v>
      </c>
      <c r="J67" t="str">
        <f>_xlfn.XLOOKUP(D67,products!$A$1:$A$49,products!$C$1:$C$49,,0)</f>
        <v>D</v>
      </c>
      <c r="K67" s="7">
        <f>_xlfn.XLOOKUP(D67,products!$A$1:$A$49,products!$D$1:$D$49,,0)</f>
        <v>2.5</v>
      </c>
      <c r="L67" s="9">
        <f>_xlfn.XLOOKUP(D67,products!$A$1:$A$49,products!$E$1:$E$49,,0)</f>
        <v>20.584999999999997</v>
      </c>
      <c r="M67" s="9">
        <f t="shared" ref="M67:M130" si="1">L67*E67</f>
        <v>82.339999999999989</v>
      </c>
      <c r="N67" s="3" t="str" cm="1">
        <f t="array" ref="N67">_xlfn.SWITCH(I67,
"Rob","Robusta",
"Exc","Excelsa",
"Ara","Arabica",
"Lib","Liberica",
"")</f>
        <v>Robusta</v>
      </c>
      <c r="O67" t="str" cm="1">
        <f t="array" ref="O67">_xlfn.SWITCH(J67,
"M","Medium",
"L","Light",
"D","Dark",
"")</f>
        <v>Dark</v>
      </c>
      <c r="P67" t="str">
        <f>_xlfn.XLOOKUP(Orders[[#This Row],[Customer ID]],customers!$A$1:$A$1001,customers!$I$1:$I$1001,,0)</f>
        <v>Yes</v>
      </c>
    </row>
    <row r="68" spans="1:16" x14ac:dyDescent="0.35">
      <c r="A68" s="2" t="s">
        <v>860</v>
      </c>
      <c r="B68" s="4">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_xlfn.XLOOKUP(D68,products!$A$1:$A$49,products!$B$1:$B$49,,0)</f>
        <v>Rob</v>
      </c>
      <c r="J68" t="str">
        <f>_xlfn.XLOOKUP(D68,products!$A$1:$A$49,products!$C$1:$C$49,,0)</f>
        <v>L</v>
      </c>
      <c r="K68" s="7">
        <f>_xlfn.XLOOKUP(D68,products!$A$1:$A$49,products!$D$1:$D$49,,0)</f>
        <v>0.5</v>
      </c>
      <c r="L68" s="9">
        <f>_xlfn.XLOOKUP(D68,products!$A$1:$A$49,products!$E$1:$E$49,,0)</f>
        <v>7.169999999999999</v>
      </c>
      <c r="M68" s="9">
        <f t="shared" si="1"/>
        <v>7.169999999999999</v>
      </c>
      <c r="N68" s="3" t="str" cm="1">
        <f t="array" ref="N68">_xlfn.SWITCH(I68,
"Rob","Robusta",
"Exc","Excelsa",
"Ara","Arabica",
"Lib","Liberica",
"")</f>
        <v>Robusta</v>
      </c>
      <c r="O68" t="str" cm="1">
        <f t="array" ref="O68">_xlfn.SWITCH(J68,
"M","Medium",
"L","Light",
"D","Dark",
"")</f>
        <v>Light</v>
      </c>
      <c r="P68" t="str">
        <f>_xlfn.XLOOKUP(Orders[[#This Row],[Customer ID]],customers!$A$1:$A$1001,customers!$I$1:$I$1001,,0)</f>
        <v>Yes</v>
      </c>
    </row>
    <row r="69" spans="1:16" x14ac:dyDescent="0.35">
      <c r="A69" s="2" t="s">
        <v>866</v>
      </c>
      <c r="B69" s="4">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_xlfn.XLOOKUP(D69,products!$A$1:$A$49,products!$B$1:$B$49,,0)</f>
        <v>Lib</v>
      </c>
      <c r="J69" t="str">
        <f>_xlfn.XLOOKUP(D69,products!$A$1:$A$49,products!$C$1:$C$49,,0)</f>
        <v>L</v>
      </c>
      <c r="K69" s="7">
        <f>_xlfn.XLOOKUP(D69,products!$A$1:$A$49,products!$D$1:$D$49,,0)</f>
        <v>0.2</v>
      </c>
      <c r="L69" s="9">
        <f>_xlfn.XLOOKUP(D69,products!$A$1:$A$49,products!$E$1:$E$49,,0)</f>
        <v>4.7549999999999999</v>
      </c>
      <c r="M69" s="9">
        <f t="shared" si="1"/>
        <v>9.51</v>
      </c>
      <c r="N69" s="3" t="str" cm="1">
        <f t="array" ref="N69">_xlfn.SWITCH(I69,
"Rob","Robusta",
"Exc","Excelsa",
"Ara","Arabica",
"Lib","Liberica",
"")</f>
        <v>Liberica</v>
      </c>
      <c r="O69" t="str" cm="1">
        <f t="array" ref="O69">_xlfn.SWITCH(J69,
"M","Medium",
"L","Light",
"D","Dark",
"")</f>
        <v>Light</v>
      </c>
      <c r="P69" t="str">
        <f>_xlfn.XLOOKUP(Orders[[#This Row],[Customer ID]],customers!$A$1:$A$1001,customers!$I$1:$I$1001,,0)</f>
        <v>No</v>
      </c>
    </row>
    <row r="70" spans="1:16" x14ac:dyDescent="0.35">
      <c r="A70" s="2" t="s">
        <v>872</v>
      </c>
      <c r="B70" s="4">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_xlfn.XLOOKUP(D70,products!$A$1:$A$49,products!$B$1:$B$49,,0)</f>
        <v>Rob</v>
      </c>
      <c r="J70" t="str">
        <f>_xlfn.XLOOKUP(D70,products!$A$1:$A$49,products!$C$1:$C$49,,0)</f>
        <v>M</v>
      </c>
      <c r="K70" s="7">
        <f>_xlfn.XLOOKUP(D70,products!$A$1:$A$49,products!$D$1:$D$49,,0)</f>
        <v>0.2</v>
      </c>
      <c r="L70" s="9">
        <f>_xlfn.XLOOKUP(D70,products!$A$1:$A$49,products!$E$1:$E$49,,0)</f>
        <v>2.9849999999999999</v>
      </c>
      <c r="M70" s="9">
        <f t="shared" si="1"/>
        <v>2.9849999999999999</v>
      </c>
      <c r="N70" s="3" t="str" cm="1">
        <f t="array" ref="N70">_xlfn.SWITCH(I70,
"Rob","Robusta",
"Exc","Excelsa",
"Ara","Arabica",
"Lib","Liberica",
"")</f>
        <v>Robusta</v>
      </c>
      <c r="O70" t="str" cm="1">
        <f t="array" ref="O70">_xlfn.SWITCH(J70,
"M","Medium",
"L","Light",
"D","Dark",
"")</f>
        <v>Medium</v>
      </c>
      <c r="P70" t="str">
        <f>_xlfn.XLOOKUP(Orders[[#This Row],[Customer ID]],customers!$A$1:$A$1001,customers!$I$1:$I$1001,,0)</f>
        <v>No</v>
      </c>
    </row>
    <row r="71" spans="1:16" x14ac:dyDescent="0.35">
      <c r="A71" s="2" t="s">
        <v>878</v>
      </c>
      <c r="B71" s="4">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_xlfn.XLOOKUP(D71,products!$A$1:$A$49,products!$B$1:$B$49,,0)</f>
        <v>Rob</v>
      </c>
      <c r="J71" t="str">
        <f>_xlfn.XLOOKUP(D71,products!$A$1:$A$49,products!$C$1:$C$49,,0)</f>
        <v>M</v>
      </c>
      <c r="K71" s="7">
        <f>_xlfn.XLOOKUP(D71,products!$A$1:$A$49,products!$D$1:$D$49,,0)</f>
        <v>1</v>
      </c>
      <c r="L71" s="9">
        <f>_xlfn.XLOOKUP(D71,products!$A$1:$A$49,products!$E$1:$E$49,,0)</f>
        <v>9.9499999999999993</v>
      </c>
      <c r="M71" s="9">
        <f t="shared" si="1"/>
        <v>59.699999999999996</v>
      </c>
      <c r="N71" s="3" t="str" cm="1">
        <f t="array" ref="N71">_xlfn.SWITCH(I71,
"Rob","Robusta",
"Exc","Excelsa",
"Ara","Arabica",
"Lib","Liberica",
"")</f>
        <v>Robusta</v>
      </c>
      <c r="O71" t="str" cm="1">
        <f t="array" ref="O71">_xlfn.SWITCH(J71,
"M","Medium",
"L","Light",
"D","Dark",
"")</f>
        <v>Medium</v>
      </c>
      <c r="P71" t="str">
        <f>_xlfn.XLOOKUP(Orders[[#This Row],[Customer ID]],customers!$A$1:$A$1001,customers!$I$1:$I$1001,,0)</f>
        <v>Yes</v>
      </c>
    </row>
    <row r="72" spans="1:16" x14ac:dyDescent="0.35">
      <c r="A72" s="2" t="s">
        <v>885</v>
      </c>
      <c r="B72" s="4">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_xlfn.XLOOKUP(D72,products!$A$1:$A$49,products!$B$1:$B$49,,0)</f>
        <v>Exc</v>
      </c>
      <c r="J72" t="str">
        <f>_xlfn.XLOOKUP(D72,products!$A$1:$A$49,products!$C$1:$C$49,,0)</f>
        <v>L</v>
      </c>
      <c r="K72" s="7">
        <f>_xlfn.XLOOKUP(D72,products!$A$1:$A$49,products!$D$1:$D$49,,0)</f>
        <v>2.5</v>
      </c>
      <c r="L72" s="9">
        <f>_xlfn.XLOOKUP(D72,products!$A$1:$A$49,products!$E$1:$E$49,,0)</f>
        <v>34.154999999999994</v>
      </c>
      <c r="M72" s="9">
        <f t="shared" si="1"/>
        <v>136.61999999999998</v>
      </c>
      <c r="N72" s="3" t="str" cm="1">
        <f t="array" ref="N72">_xlfn.SWITCH(I72,
"Rob","Robusta",
"Exc","Excelsa",
"Ara","Arabica",
"Lib","Liberica",
"")</f>
        <v>Excelsa</v>
      </c>
      <c r="O72" t="str" cm="1">
        <f t="array" ref="O72">_xlfn.SWITCH(J72,
"M","Medium",
"L","Light",
"D","Dark",
"")</f>
        <v>Light</v>
      </c>
      <c r="P72" t="str">
        <f>_xlfn.XLOOKUP(Orders[[#This Row],[Customer ID]],customers!$A$1:$A$1001,customers!$I$1:$I$1001,,0)</f>
        <v>No</v>
      </c>
    </row>
    <row r="73" spans="1:16" x14ac:dyDescent="0.35">
      <c r="A73" s="2" t="s">
        <v>891</v>
      </c>
      <c r="B73" s="4">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_xlfn.XLOOKUP(D73,products!$A$1:$A$49,products!$B$1:$B$49,,0)</f>
        <v>Lib</v>
      </c>
      <c r="J73" t="str">
        <f>_xlfn.XLOOKUP(D73,products!$A$1:$A$49,products!$C$1:$C$49,,0)</f>
        <v>L</v>
      </c>
      <c r="K73" s="7">
        <f>_xlfn.XLOOKUP(D73,products!$A$1:$A$49,products!$D$1:$D$49,,0)</f>
        <v>0.2</v>
      </c>
      <c r="L73" s="9">
        <f>_xlfn.XLOOKUP(D73,products!$A$1:$A$49,products!$E$1:$E$49,,0)</f>
        <v>4.7549999999999999</v>
      </c>
      <c r="M73" s="9">
        <f t="shared" si="1"/>
        <v>9.51</v>
      </c>
      <c r="N73" s="3" t="str" cm="1">
        <f t="array" ref="N73">_xlfn.SWITCH(I73,
"Rob","Robusta",
"Exc","Excelsa",
"Ara","Arabica",
"Lib","Liberica",
"")</f>
        <v>Liberica</v>
      </c>
      <c r="O73" t="str" cm="1">
        <f t="array" ref="O73">_xlfn.SWITCH(J73,
"M","Medium",
"L","Light",
"D","Dark",
"")</f>
        <v>Light</v>
      </c>
      <c r="P73" t="str">
        <f>_xlfn.XLOOKUP(Orders[[#This Row],[Customer ID]],customers!$A$1:$A$1001,customers!$I$1:$I$1001,,0)</f>
        <v>No</v>
      </c>
    </row>
    <row r="74" spans="1:16" x14ac:dyDescent="0.35">
      <c r="A74" s="2" t="s">
        <v>897</v>
      </c>
      <c r="B74" s="4">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_xlfn.XLOOKUP(D74,products!$A$1:$A$49,products!$B$1:$B$49,,0)</f>
        <v>Ara</v>
      </c>
      <c r="J74" t="str">
        <f>_xlfn.XLOOKUP(D74,products!$A$1:$A$49,products!$C$1:$C$49,,0)</f>
        <v>M</v>
      </c>
      <c r="K74" s="7">
        <f>_xlfn.XLOOKUP(D74,products!$A$1:$A$49,products!$D$1:$D$49,,0)</f>
        <v>2.5</v>
      </c>
      <c r="L74" s="9">
        <f>_xlfn.XLOOKUP(D74,products!$A$1:$A$49,products!$E$1:$E$49,,0)</f>
        <v>25.874999999999996</v>
      </c>
      <c r="M74" s="9">
        <f t="shared" si="1"/>
        <v>77.624999999999986</v>
      </c>
      <c r="N74" s="3" t="str" cm="1">
        <f t="array" ref="N74">_xlfn.SWITCH(I74,
"Rob","Robusta",
"Exc","Excelsa",
"Ara","Arabica",
"Lib","Liberica",
"")</f>
        <v>Arabica</v>
      </c>
      <c r="O74" t="str" cm="1">
        <f t="array" ref="O74">_xlfn.SWITCH(J74,
"M","Medium",
"L","Light",
"D","Dark",
"")</f>
        <v>Medium</v>
      </c>
      <c r="P74" t="str">
        <f>_xlfn.XLOOKUP(Orders[[#This Row],[Customer ID]],customers!$A$1:$A$1001,customers!$I$1:$I$1001,,0)</f>
        <v>No</v>
      </c>
    </row>
    <row r="75" spans="1:16" x14ac:dyDescent="0.35">
      <c r="A75" s="2" t="s">
        <v>902</v>
      </c>
      <c r="B75" s="4">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_xlfn.XLOOKUP(D75,products!$A$1:$A$49,products!$B$1:$B$49,,0)</f>
        <v>Lib</v>
      </c>
      <c r="J75" t="str">
        <f>_xlfn.XLOOKUP(D75,products!$A$1:$A$49,products!$C$1:$C$49,,0)</f>
        <v>M</v>
      </c>
      <c r="K75" s="7">
        <f>_xlfn.XLOOKUP(D75,products!$A$1:$A$49,products!$D$1:$D$49,,0)</f>
        <v>0.2</v>
      </c>
      <c r="L75" s="9">
        <f>_xlfn.XLOOKUP(D75,products!$A$1:$A$49,products!$E$1:$E$49,,0)</f>
        <v>4.3650000000000002</v>
      </c>
      <c r="M75" s="9">
        <f t="shared" si="1"/>
        <v>21.825000000000003</v>
      </c>
      <c r="N75" s="3" t="str" cm="1">
        <f t="array" ref="N75">_xlfn.SWITCH(I75,
"Rob","Robusta",
"Exc","Excelsa",
"Ara","Arabica",
"Lib","Liberica",
"")</f>
        <v>Liberica</v>
      </c>
      <c r="O75" t="str" cm="1">
        <f t="array" ref="O75">_xlfn.SWITCH(J75,
"M","Medium",
"L","Light",
"D","Dark",
"")</f>
        <v>Medium</v>
      </c>
      <c r="P75" t="str">
        <f>_xlfn.XLOOKUP(Orders[[#This Row],[Customer ID]],customers!$A$1:$A$1001,customers!$I$1:$I$1001,,0)</f>
        <v>Yes</v>
      </c>
    </row>
    <row r="76" spans="1:16" x14ac:dyDescent="0.35">
      <c r="A76" s="2" t="s">
        <v>907</v>
      </c>
      <c r="B76" s="4">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_xlfn.XLOOKUP(D76,products!$A$1:$A$49,products!$B$1:$B$49,,0)</f>
        <v>Exc</v>
      </c>
      <c r="J76" t="str">
        <f>_xlfn.XLOOKUP(D76,products!$A$1:$A$49,products!$C$1:$C$49,,0)</f>
        <v>L</v>
      </c>
      <c r="K76" s="7">
        <f>_xlfn.XLOOKUP(D76,products!$A$1:$A$49,products!$D$1:$D$49,,0)</f>
        <v>0.5</v>
      </c>
      <c r="L76" s="9">
        <f>_xlfn.XLOOKUP(D76,products!$A$1:$A$49,products!$E$1:$E$49,,0)</f>
        <v>8.91</v>
      </c>
      <c r="M76" s="9">
        <f t="shared" si="1"/>
        <v>17.82</v>
      </c>
      <c r="N76" s="3" t="str" cm="1">
        <f t="array" ref="N76">_xlfn.SWITCH(I76,
"Rob","Robusta",
"Exc","Excelsa",
"Ara","Arabica",
"Lib","Liberica",
"")</f>
        <v>Excelsa</v>
      </c>
      <c r="O76" t="str" cm="1">
        <f t="array" ref="O76">_xlfn.SWITCH(J76,
"M","Medium",
"L","Light",
"D","Dark",
"")</f>
        <v>Light</v>
      </c>
      <c r="P76" t="str">
        <f>_xlfn.XLOOKUP(Orders[[#This Row],[Customer ID]],customers!$A$1:$A$1001,customers!$I$1:$I$1001,,0)</f>
        <v>Yes</v>
      </c>
    </row>
    <row r="77" spans="1:16" x14ac:dyDescent="0.35">
      <c r="A77" s="2" t="s">
        <v>913</v>
      </c>
      <c r="B77" s="4">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_xlfn.XLOOKUP(D77,products!$A$1:$A$49,products!$B$1:$B$49,,0)</f>
        <v>Rob</v>
      </c>
      <c r="J77" t="str">
        <f>_xlfn.XLOOKUP(D77,products!$A$1:$A$49,products!$C$1:$C$49,,0)</f>
        <v>D</v>
      </c>
      <c r="K77" s="7">
        <f>_xlfn.XLOOKUP(D77,products!$A$1:$A$49,products!$D$1:$D$49,,0)</f>
        <v>1</v>
      </c>
      <c r="L77" s="9">
        <f>_xlfn.XLOOKUP(D77,products!$A$1:$A$49,products!$E$1:$E$49,,0)</f>
        <v>8.9499999999999993</v>
      </c>
      <c r="M77" s="9">
        <f t="shared" si="1"/>
        <v>53.699999999999996</v>
      </c>
      <c r="N77" s="3" t="str" cm="1">
        <f t="array" ref="N77">_xlfn.SWITCH(I77,
"Rob","Robusta",
"Exc","Excelsa",
"Ara","Arabica",
"Lib","Liberica",
"")</f>
        <v>Robusta</v>
      </c>
      <c r="O77" t="str" cm="1">
        <f t="array" ref="O77">_xlfn.SWITCH(J77,
"M","Medium",
"L","Light",
"D","Dark",
"")</f>
        <v>Dark</v>
      </c>
      <c r="P77" t="str">
        <f>_xlfn.XLOOKUP(Orders[[#This Row],[Customer ID]],customers!$A$1:$A$1001,customers!$I$1:$I$1001,,0)</f>
        <v>Yes</v>
      </c>
    </row>
    <row r="78" spans="1:16" x14ac:dyDescent="0.35">
      <c r="A78" s="2" t="s">
        <v>919</v>
      </c>
      <c r="B78" s="4">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_xlfn.XLOOKUP(D78,products!$A$1:$A$49,products!$B$1:$B$49,,0)</f>
        <v>Rob</v>
      </c>
      <c r="J78" t="str">
        <f>_xlfn.XLOOKUP(D78,products!$A$1:$A$49,products!$C$1:$C$49,,0)</f>
        <v>L</v>
      </c>
      <c r="K78" s="7">
        <f>_xlfn.XLOOKUP(D78,products!$A$1:$A$49,products!$D$1:$D$49,,0)</f>
        <v>0.2</v>
      </c>
      <c r="L78" s="9">
        <f>_xlfn.XLOOKUP(D78,products!$A$1:$A$49,products!$E$1:$E$49,,0)</f>
        <v>3.5849999999999995</v>
      </c>
      <c r="M78" s="9">
        <f t="shared" si="1"/>
        <v>3.5849999999999995</v>
      </c>
      <c r="N78" s="3" t="str" cm="1">
        <f t="array" ref="N78">_xlfn.SWITCH(I78,
"Rob","Robusta",
"Exc","Excelsa",
"Ara","Arabica",
"Lib","Liberica",
"")</f>
        <v>Robusta</v>
      </c>
      <c r="O78" t="str" cm="1">
        <f t="array" ref="O78">_xlfn.SWITCH(J78,
"M","Medium",
"L","Light",
"D","Dark",
"")</f>
        <v>Light</v>
      </c>
      <c r="P78" t="str">
        <f>_xlfn.XLOOKUP(Orders[[#This Row],[Customer ID]],customers!$A$1:$A$1001,customers!$I$1:$I$1001,,0)</f>
        <v>Yes</v>
      </c>
    </row>
    <row r="79" spans="1:16" x14ac:dyDescent="0.35">
      <c r="A79" s="2" t="s">
        <v>924</v>
      </c>
      <c r="B79" s="4">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_xlfn.XLOOKUP(D79,products!$A$1:$A$49,products!$B$1:$B$49,,0)</f>
        <v>Exc</v>
      </c>
      <c r="J79" t="str">
        <f>_xlfn.XLOOKUP(D79,products!$A$1:$A$49,products!$C$1:$C$49,,0)</f>
        <v>D</v>
      </c>
      <c r="K79" s="7">
        <f>_xlfn.XLOOKUP(D79,products!$A$1:$A$49,products!$D$1:$D$49,,0)</f>
        <v>0.2</v>
      </c>
      <c r="L79" s="9">
        <f>_xlfn.XLOOKUP(D79,products!$A$1:$A$49,products!$E$1:$E$49,,0)</f>
        <v>3.645</v>
      </c>
      <c r="M79" s="9">
        <f t="shared" si="1"/>
        <v>7.29</v>
      </c>
      <c r="N79" s="3" t="str" cm="1">
        <f t="array" ref="N79">_xlfn.SWITCH(I79,
"Rob","Robusta",
"Exc","Excelsa",
"Ara","Arabica",
"Lib","Liberica",
"")</f>
        <v>Excelsa</v>
      </c>
      <c r="O79" t="str" cm="1">
        <f t="array" ref="O79">_xlfn.SWITCH(J79,
"M","Medium",
"L","Light",
"D","Dark",
"")</f>
        <v>Dark</v>
      </c>
      <c r="P79" t="str">
        <f>_xlfn.XLOOKUP(Orders[[#This Row],[Customer ID]],customers!$A$1:$A$1001,customers!$I$1:$I$1001,,0)</f>
        <v>No</v>
      </c>
    </row>
    <row r="80" spans="1:16" x14ac:dyDescent="0.35">
      <c r="A80" s="2" t="s">
        <v>930</v>
      </c>
      <c r="B80" s="4">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_xlfn.XLOOKUP(D80,products!$A$1:$A$49,products!$B$1:$B$49,,0)</f>
        <v>Ara</v>
      </c>
      <c r="J80" t="str">
        <f>_xlfn.XLOOKUP(D80,products!$A$1:$A$49,products!$C$1:$C$49,,0)</f>
        <v>M</v>
      </c>
      <c r="K80" s="7">
        <f>_xlfn.XLOOKUP(D80,products!$A$1:$A$49,products!$D$1:$D$49,,0)</f>
        <v>0.5</v>
      </c>
      <c r="L80" s="9">
        <f>_xlfn.XLOOKUP(D80,products!$A$1:$A$49,products!$E$1:$E$49,,0)</f>
        <v>6.75</v>
      </c>
      <c r="M80" s="9">
        <f t="shared" si="1"/>
        <v>40.5</v>
      </c>
      <c r="N80" s="3" t="str" cm="1">
        <f t="array" ref="N80">_xlfn.SWITCH(I80,
"Rob","Robusta",
"Exc","Excelsa",
"Ara","Arabica",
"Lib","Liberica",
"")</f>
        <v>Arabica</v>
      </c>
      <c r="O80" t="str" cm="1">
        <f t="array" ref="O80">_xlfn.SWITCH(J80,
"M","Medium",
"L","Light",
"D","Dark",
"")</f>
        <v>Medium</v>
      </c>
      <c r="P80" t="str">
        <f>_xlfn.XLOOKUP(Orders[[#This Row],[Customer ID]],customers!$A$1:$A$1001,customers!$I$1:$I$1001,,0)</f>
        <v>Yes</v>
      </c>
    </row>
    <row r="81" spans="1:16" x14ac:dyDescent="0.35">
      <c r="A81" s="2" t="s">
        <v>936</v>
      </c>
      <c r="B81" s="4">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_xlfn.XLOOKUP(D81,products!$A$1:$A$49,products!$B$1:$B$49,,0)</f>
        <v>Rob</v>
      </c>
      <c r="J81" t="str">
        <f>_xlfn.XLOOKUP(D81,products!$A$1:$A$49,products!$C$1:$C$49,,0)</f>
        <v>L</v>
      </c>
      <c r="K81" s="7">
        <f>_xlfn.XLOOKUP(D81,products!$A$1:$A$49,products!$D$1:$D$49,,0)</f>
        <v>1</v>
      </c>
      <c r="L81" s="9">
        <f>_xlfn.XLOOKUP(D81,products!$A$1:$A$49,products!$E$1:$E$49,,0)</f>
        <v>11.95</v>
      </c>
      <c r="M81" s="9">
        <f t="shared" si="1"/>
        <v>47.8</v>
      </c>
      <c r="N81" s="3" t="str" cm="1">
        <f t="array" ref="N81">_xlfn.SWITCH(I81,
"Rob","Robusta",
"Exc","Excelsa",
"Ara","Arabica",
"Lib","Liberica",
"")</f>
        <v>Robusta</v>
      </c>
      <c r="O81" t="str" cm="1">
        <f t="array" ref="O81">_xlfn.SWITCH(J81,
"M","Medium",
"L","Light",
"D","Dark",
"")</f>
        <v>Light</v>
      </c>
      <c r="P81" t="str">
        <f>_xlfn.XLOOKUP(Orders[[#This Row],[Customer ID]],customers!$A$1:$A$1001,customers!$I$1:$I$1001,,0)</f>
        <v>No</v>
      </c>
    </row>
    <row r="82" spans="1:16" x14ac:dyDescent="0.35">
      <c r="A82" s="2" t="s">
        <v>942</v>
      </c>
      <c r="B82" s="4">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_xlfn.XLOOKUP(D82,products!$A$1:$A$49,products!$B$1:$B$49,,0)</f>
        <v>Ara</v>
      </c>
      <c r="J82" t="str">
        <f>_xlfn.XLOOKUP(D82,products!$A$1:$A$49,products!$C$1:$C$49,,0)</f>
        <v>L</v>
      </c>
      <c r="K82" s="7">
        <f>_xlfn.XLOOKUP(D82,products!$A$1:$A$49,products!$D$1:$D$49,,0)</f>
        <v>0.5</v>
      </c>
      <c r="L82" s="9">
        <f>_xlfn.XLOOKUP(D82,products!$A$1:$A$49,products!$E$1:$E$49,,0)</f>
        <v>7.77</v>
      </c>
      <c r="M82" s="9">
        <f t="shared" si="1"/>
        <v>38.849999999999994</v>
      </c>
      <c r="N82" s="3" t="str" cm="1">
        <f t="array" ref="N82">_xlfn.SWITCH(I82,
"Rob","Robusta",
"Exc","Excelsa",
"Ara","Arabica",
"Lib","Liberica",
"")</f>
        <v>Arabica</v>
      </c>
      <c r="O82" t="str" cm="1">
        <f t="array" ref="O82">_xlfn.SWITCH(J82,
"M","Medium",
"L","Light",
"D","Dark",
"")</f>
        <v>Light</v>
      </c>
      <c r="P82" t="str">
        <f>_xlfn.XLOOKUP(Orders[[#This Row],[Customer ID]],customers!$A$1:$A$1001,customers!$I$1:$I$1001,,0)</f>
        <v>Yes</v>
      </c>
    </row>
    <row r="83" spans="1:16" x14ac:dyDescent="0.35">
      <c r="A83" s="2" t="s">
        <v>948</v>
      </c>
      <c r="B83" s="4">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_xlfn.XLOOKUP(D83,products!$A$1:$A$49,products!$B$1:$B$49,,0)</f>
        <v>Lib</v>
      </c>
      <c r="J83" t="str">
        <f>_xlfn.XLOOKUP(D83,products!$A$1:$A$49,products!$C$1:$C$49,,0)</f>
        <v>L</v>
      </c>
      <c r="K83" s="7">
        <f>_xlfn.XLOOKUP(D83,products!$A$1:$A$49,products!$D$1:$D$49,,0)</f>
        <v>2.5</v>
      </c>
      <c r="L83" s="9">
        <f>_xlfn.XLOOKUP(D83,products!$A$1:$A$49,products!$E$1:$E$49,,0)</f>
        <v>36.454999999999998</v>
      </c>
      <c r="M83" s="9">
        <f t="shared" si="1"/>
        <v>109.36499999999999</v>
      </c>
      <c r="N83" s="3" t="str" cm="1">
        <f t="array" ref="N83">_xlfn.SWITCH(I83,
"Rob","Robusta",
"Exc","Excelsa",
"Ara","Arabica",
"Lib","Liberica",
"")</f>
        <v>Liberica</v>
      </c>
      <c r="O83" t="str" cm="1">
        <f t="array" ref="O83">_xlfn.SWITCH(J83,
"M","Medium",
"L","Light",
"D","Dark",
"")</f>
        <v>Light</v>
      </c>
      <c r="P83" t="str">
        <f>_xlfn.XLOOKUP(Orders[[#This Row],[Customer ID]],customers!$A$1:$A$1001,customers!$I$1:$I$1001,,0)</f>
        <v>Yes</v>
      </c>
    </row>
    <row r="84" spans="1:16" x14ac:dyDescent="0.35">
      <c r="A84" s="2" t="s">
        <v>954</v>
      </c>
      <c r="B84" s="4">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_xlfn.XLOOKUP(D84,products!$A$1:$A$49,products!$B$1:$B$49,,0)</f>
        <v>Lib</v>
      </c>
      <c r="J84" t="str">
        <f>_xlfn.XLOOKUP(D84,products!$A$1:$A$49,products!$C$1:$C$49,,0)</f>
        <v>M</v>
      </c>
      <c r="K84" s="7">
        <f>_xlfn.XLOOKUP(D84,products!$A$1:$A$49,products!$D$1:$D$49,,0)</f>
        <v>2.5</v>
      </c>
      <c r="L84" s="9">
        <f>_xlfn.XLOOKUP(D84,products!$A$1:$A$49,products!$E$1:$E$49,,0)</f>
        <v>33.464999999999996</v>
      </c>
      <c r="M84" s="9">
        <f t="shared" si="1"/>
        <v>100.39499999999998</v>
      </c>
      <c r="N84" s="3" t="str" cm="1">
        <f t="array" ref="N84">_xlfn.SWITCH(I84,
"Rob","Robusta",
"Exc","Excelsa",
"Ara","Arabica",
"Lib","Liberica",
"")</f>
        <v>Liberica</v>
      </c>
      <c r="O84" t="str" cm="1">
        <f t="array" ref="O84">_xlfn.SWITCH(J84,
"M","Medium",
"L","Light",
"D","Dark",
"")</f>
        <v>Medium</v>
      </c>
      <c r="P84" t="str">
        <f>_xlfn.XLOOKUP(Orders[[#This Row],[Customer ID]],customers!$A$1:$A$1001,customers!$I$1:$I$1001,,0)</f>
        <v>Yes</v>
      </c>
    </row>
    <row r="85" spans="1:16" x14ac:dyDescent="0.35">
      <c r="A85" s="2" t="s">
        <v>960</v>
      </c>
      <c r="B85" s="4">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_xlfn.XLOOKUP(D85,products!$A$1:$A$49,products!$B$1:$B$49,,0)</f>
        <v>Rob</v>
      </c>
      <c r="J85" t="str">
        <f>_xlfn.XLOOKUP(D85,products!$A$1:$A$49,products!$C$1:$C$49,,0)</f>
        <v>D</v>
      </c>
      <c r="K85" s="7">
        <f>_xlfn.XLOOKUP(D85,products!$A$1:$A$49,products!$D$1:$D$49,,0)</f>
        <v>2.5</v>
      </c>
      <c r="L85" s="9">
        <f>_xlfn.XLOOKUP(D85,products!$A$1:$A$49,products!$E$1:$E$49,,0)</f>
        <v>20.584999999999997</v>
      </c>
      <c r="M85" s="9">
        <f t="shared" si="1"/>
        <v>82.339999999999989</v>
      </c>
      <c r="N85" s="3" t="str" cm="1">
        <f t="array" ref="N85">_xlfn.SWITCH(I85,
"Rob","Robusta",
"Exc","Excelsa",
"Ara","Arabica",
"Lib","Liberica",
"")</f>
        <v>Robusta</v>
      </c>
      <c r="O85" t="str" cm="1">
        <f t="array" ref="O85">_xlfn.SWITCH(J85,
"M","Medium",
"L","Light",
"D","Dark",
"")</f>
        <v>Dark</v>
      </c>
      <c r="P85" t="str">
        <f>_xlfn.XLOOKUP(Orders[[#This Row],[Customer ID]],customers!$A$1:$A$1001,customers!$I$1:$I$1001,,0)</f>
        <v>Yes</v>
      </c>
    </row>
    <row r="86" spans="1:16" x14ac:dyDescent="0.35">
      <c r="A86" s="2" t="s">
        <v>965</v>
      </c>
      <c r="B86" s="4">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_xlfn.XLOOKUP(D86,products!$A$1:$A$49,products!$B$1:$B$49,,0)</f>
        <v>Lib</v>
      </c>
      <c r="J86" t="str">
        <f>_xlfn.XLOOKUP(D86,products!$A$1:$A$49,products!$C$1:$C$49,,0)</f>
        <v>L</v>
      </c>
      <c r="K86" s="7">
        <f>_xlfn.XLOOKUP(D86,products!$A$1:$A$49,products!$D$1:$D$49,,0)</f>
        <v>0.5</v>
      </c>
      <c r="L86" s="9">
        <f>_xlfn.XLOOKUP(D86,products!$A$1:$A$49,products!$E$1:$E$49,,0)</f>
        <v>9.51</v>
      </c>
      <c r="M86" s="9">
        <f t="shared" si="1"/>
        <v>9.51</v>
      </c>
      <c r="N86" s="3" t="str" cm="1">
        <f t="array" ref="N86">_xlfn.SWITCH(I86,
"Rob","Robusta",
"Exc","Excelsa",
"Ara","Arabica",
"Lib","Liberica",
"")</f>
        <v>Liberica</v>
      </c>
      <c r="O86" t="str" cm="1">
        <f t="array" ref="O86">_xlfn.SWITCH(J86,
"M","Medium",
"L","Light",
"D","Dark",
"")</f>
        <v>Light</v>
      </c>
      <c r="P86" t="str">
        <f>_xlfn.XLOOKUP(Orders[[#This Row],[Customer ID]],customers!$A$1:$A$1001,customers!$I$1:$I$1001,,0)</f>
        <v>No</v>
      </c>
    </row>
    <row r="87" spans="1:16" x14ac:dyDescent="0.35">
      <c r="A87" s="2" t="s">
        <v>971</v>
      </c>
      <c r="B87" s="4">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_xlfn.XLOOKUP(D87,products!$A$1:$A$49,products!$B$1:$B$49,,0)</f>
        <v>Ara</v>
      </c>
      <c r="J87" t="str">
        <f>_xlfn.XLOOKUP(D87,products!$A$1:$A$49,products!$C$1:$C$49,,0)</f>
        <v>L</v>
      </c>
      <c r="K87" s="7">
        <f>_xlfn.XLOOKUP(D87,products!$A$1:$A$49,products!$D$1:$D$49,,0)</f>
        <v>2.5</v>
      </c>
      <c r="L87" s="9">
        <f>_xlfn.XLOOKUP(D87,products!$A$1:$A$49,products!$E$1:$E$49,,0)</f>
        <v>29.784999999999997</v>
      </c>
      <c r="M87" s="9">
        <f t="shared" si="1"/>
        <v>89.35499999999999</v>
      </c>
      <c r="N87" s="3" t="str" cm="1">
        <f t="array" ref="N87">_xlfn.SWITCH(I87,
"Rob","Robusta",
"Exc","Excelsa",
"Ara","Arabica",
"Lib","Liberica",
"")</f>
        <v>Arabica</v>
      </c>
      <c r="O87" t="str" cm="1">
        <f t="array" ref="O87">_xlfn.SWITCH(J87,
"M","Medium",
"L","Light",
"D","Dark",
"")</f>
        <v>Light</v>
      </c>
      <c r="P87" t="str">
        <f>_xlfn.XLOOKUP(Orders[[#This Row],[Customer ID]],customers!$A$1:$A$1001,customers!$I$1:$I$1001,,0)</f>
        <v>No</v>
      </c>
    </row>
    <row r="88" spans="1:16" x14ac:dyDescent="0.35">
      <c r="A88" s="2" t="s">
        <v>971</v>
      </c>
      <c r="B88" s="4">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_xlfn.XLOOKUP(D88,products!$A$1:$A$49,products!$B$1:$B$49,,0)</f>
        <v>Ara</v>
      </c>
      <c r="J88" t="str">
        <f>_xlfn.XLOOKUP(D88,products!$A$1:$A$49,products!$C$1:$C$49,,0)</f>
        <v>D</v>
      </c>
      <c r="K88" s="7">
        <f>_xlfn.XLOOKUP(D88,products!$A$1:$A$49,products!$D$1:$D$49,,0)</f>
        <v>0.2</v>
      </c>
      <c r="L88" s="9">
        <f>_xlfn.XLOOKUP(D88,products!$A$1:$A$49,products!$E$1:$E$49,,0)</f>
        <v>2.9849999999999999</v>
      </c>
      <c r="M88" s="9">
        <f t="shared" si="1"/>
        <v>11.94</v>
      </c>
      <c r="N88" s="3" t="str" cm="1">
        <f t="array" ref="N88">_xlfn.SWITCH(I88,
"Rob","Robusta",
"Exc","Excelsa",
"Ara","Arabica",
"Lib","Liberica",
"")</f>
        <v>Arabica</v>
      </c>
      <c r="O88" t="str" cm="1">
        <f t="array" ref="O88">_xlfn.SWITCH(J88,
"M","Medium",
"L","Light",
"D","Dark",
"")</f>
        <v>Dark</v>
      </c>
      <c r="P88" t="str">
        <f>_xlfn.XLOOKUP(Orders[[#This Row],[Customer ID]],customers!$A$1:$A$1001,customers!$I$1:$I$1001,,0)</f>
        <v>No</v>
      </c>
    </row>
    <row r="89" spans="1:16" x14ac:dyDescent="0.35">
      <c r="A89" s="2" t="s">
        <v>980</v>
      </c>
      <c r="B89" s="4">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_xlfn.XLOOKUP(D89,products!$A$1:$A$49,products!$B$1:$B$49,,0)</f>
        <v>Ara</v>
      </c>
      <c r="J89" t="str">
        <f>_xlfn.XLOOKUP(D89,products!$A$1:$A$49,products!$C$1:$C$49,,0)</f>
        <v>M</v>
      </c>
      <c r="K89" s="7">
        <f>_xlfn.XLOOKUP(D89,products!$A$1:$A$49,products!$D$1:$D$49,,0)</f>
        <v>1</v>
      </c>
      <c r="L89" s="9">
        <f>_xlfn.XLOOKUP(D89,products!$A$1:$A$49,products!$E$1:$E$49,,0)</f>
        <v>11.25</v>
      </c>
      <c r="M89" s="9">
        <f t="shared" si="1"/>
        <v>33.75</v>
      </c>
      <c r="N89" s="3" t="str" cm="1">
        <f t="array" ref="N89">_xlfn.SWITCH(I89,
"Rob","Robusta",
"Exc","Excelsa",
"Ara","Arabica",
"Lib","Liberica",
"")</f>
        <v>Arabica</v>
      </c>
      <c r="O89" t="str" cm="1">
        <f t="array" ref="O89">_xlfn.SWITCH(J89,
"M","Medium",
"L","Light",
"D","Dark",
"")</f>
        <v>Medium</v>
      </c>
      <c r="P89" t="str">
        <f>_xlfn.XLOOKUP(Orders[[#This Row],[Customer ID]],customers!$A$1:$A$1001,customers!$I$1:$I$1001,,0)</f>
        <v>No</v>
      </c>
    </row>
    <row r="90" spans="1:16" x14ac:dyDescent="0.35">
      <c r="A90" s="2" t="s">
        <v>985</v>
      </c>
      <c r="B90" s="4">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_xlfn.XLOOKUP(D90,products!$A$1:$A$49,products!$B$1:$B$49,,0)</f>
        <v>Rob</v>
      </c>
      <c r="J90" t="str">
        <f>_xlfn.XLOOKUP(D90,products!$A$1:$A$49,products!$C$1:$C$49,,0)</f>
        <v>L</v>
      </c>
      <c r="K90" s="7">
        <f>_xlfn.XLOOKUP(D90,products!$A$1:$A$49,products!$D$1:$D$49,,0)</f>
        <v>1</v>
      </c>
      <c r="L90" s="9">
        <f>_xlfn.XLOOKUP(D90,products!$A$1:$A$49,products!$E$1:$E$49,,0)</f>
        <v>11.95</v>
      </c>
      <c r="M90" s="9">
        <f t="shared" si="1"/>
        <v>35.849999999999994</v>
      </c>
      <c r="N90" s="3" t="str" cm="1">
        <f t="array" ref="N90">_xlfn.SWITCH(I90,
"Rob","Robusta",
"Exc","Excelsa",
"Ara","Arabica",
"Lib","Liberica",
"")</f>
        <v>Robusta</v>
      </c>
      <c r="O90" t="str" cm="1">
        <f t="array" ref="O90">_xlfn.SWITCH(J90,
"M","Medium",
"L","Light",
"D","Dark",
"")</f>
        <v>Light</v>
      </c>
      <c r="P90" t="str">
        <f>_xlfn.XLOOKUP(Orders[[#This Row],[Customer ID]],customers!$A$1:$A$1001,customers!$I$1:$I$1001,,0)</f>
        <v>No</v>
      </c>
    </row>
    <row r="91" spans="1:16" x14ac:dyDescent="0.35">
      <c r="A91" s="2" t="s">
        <v>990</v>
      </c>
      <c r="B91" s="4">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_xlfn.XLOOKUP(D91,products!$A$1:$A$49,products!$B$1:$B$49,,0)</f>
        <v>Ara</v>
      </c>
      <c r="J91" t="str">
        <f>_xlfn.XLOOKUP(D91,products!$A$1:$A$49,products!$C$1:$C$49,,0)</f>
        <v>L</v>
      </c>
      <c r="K91" s="7">
        <f>_xlfn.XLOOKUP(D91,products!$A$1:$A$49,products!$D$1:$D$49,,0)</f>
        <v>1</v>
      </c>
      <c r="L91" s="9">
        <f>_xlfn.XLOOKUP(D91,products!$A$1:$A$49,products!$E$1:$E$49,,0)</f>
        <v>12.95</v>
      </c>
      <c r="M91" s="9">
        <f t="shared" si="1"/>
        <v>77.699999999999989</v>
      </c>
      <c r="N91" s="3" t="str" cm="1">
        <f t="array" ref="N91">_xlfn.SWITCH(I91,
"Rob","Robusta",
"Exc","Excelsa",
"Ara","Arabica",
"Lib","Liberica",
"")</f>
        <v>Arabica</v>
      </c>
      <c r="O91" t="str" cm="1">
        <f t="array" ref="O91">_xlfn.SWITCH(J91,
"M","Medium",
"L","Light",
"D","Dark",
"")</f>
        <v>Light</v>
      </c>
      <c r="P91" t="str">
        <f>_xlfn.XLOOKUP(Orders[[#This Row],[Customer ID]],customers!$A$1:$A$1001,customers!$I$1:$I$1001,,0)</f>
        <v>No</v>
      </c>
    </row>
    <row r="92" spans="1:16" x14ac:dyDescent="0.35">
      <c r="A92" s="2" t="s">
        <v>996</v>
      </c>
      <c r="B92" s="4">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_xlfn.XLOOKUP(D92,products!$A$1:$A$49,products!$B$1:$B$49,,0)</f>
        <v>Ara</v>
      </c>
      <c r="J92" t="str">
        <f>_xlfn.XLOOKUP(D92,products!$A$1:$A$49,products!$C$1:$C$49,,0)</f>
        <v>L</v>
      </c>
      <c r="K92" s="7">
        <f>_xlfn.XLOOKUP(D92,products!$A$1:$A$49,products!$D$1:$D$49,,0)</f>
        <v>1</v>
      </c>
      <c r="L92" s="9">
        <f>_xlfn.XLOOKUP(D92,products!$A$1:$A$49,products!$E$1:$E$49,,0)</f>
        <v>12.95</v>
      </c>
      <c r="M92" s="9">
        <f t="shared" si="1"/>
        <v>51.8</v>
      </c>
      <c r="N92" s="3" t="str" cm="1">
        <f t="array" ref="N92">_xlfn.SWITCH(I92,
"Rob","Robusta",
"Exc","Excelsa",
"Ara","Arabica",
"Lib","Liberica",
"")</f>
        <v>Arabica</v>
      </c>
      <c r="O92" t="str" cm="1">
        <f t="array" ref="O92">_xlfn.SWITCH(J92,
"M","Medium",
"L","Light",
"D","Dark",
"")</f>
        <v>Light</v>
      </c>
      <c r="P92" t="str">
        <f>_xlfn.XLOOKUP(Orders[[#This Row],[Customer ID]],customers!$A$1:$A$1001,customers!$I$1:$I$1001,,0)</f>
        <v>Yes</v>
      </c>
    </row>
    <row r="93" spans="1:16" x14ac:dyDescent="0.35">
      <c r="A93" s="2" t="s">
        <v>1001</v>
      </c>
      <c r="B93" s="4">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_xlfn.XLOOKUP(D93,products!$A$1:$A$49,products!$B$1:$B$49,,0)</f>
        <v>Ara</v>
      </c>
      <c r="J93" t="str">
        <f>_xlfn.XLOOKUP(D93,products!$A$1:$A$49,products!$C$1:$C$49,,0)</f>
        <v>M</v>
      </c>
      <c r="K93" s="7">
        <f>_xlfn.XLOOKUP(D93,products!$A$1:$A$49,products!$D$1:$D$49,,0)</f>
        <v>2.5</v>
      </c>
      <c r="L93" s="9">
        <f>_xlfn.XLOOKUP(D93,products!$A$1:$A$49,products!$E$1:$E$49,,0)</f>
        <v>25.874999999999996</v>
      </c>
      <c r="M93" s="9">
        <f t="shared" si="1"/>
        <v>103.49999999999999</v>
      </c>
      <c r="N93" s="3" t="str" cm="1">
        <f t="array" ref="N93">_xlfn.SWITCH(I93,
"Rob","Robusta",
"Exc","Excelsa",
"Ara","Arabica",
"Lib","Liberica",
"")</f>
        <v>Arabica</v>
      </c>
      <c r="O93" t="str" cm="1">
        <f t="array" ref="O93">_xlfn.SWITCH(J93,
"M","Medium",
"L","Light",
"D","Dark",
"")</f>
        <v>Medium</v>
      </c>
      <c r="P93" t="str">
        <f>_xlfn.XLOOKUP(Orders[[#This Row],[Customer ID]],customers!$A$1:$A$1001,customers!$I$1:$I$1001,,0)</f>
        <v>No</v>
      </c>
    </row>
    <row r="94" spans="1:16" x14ac:dyDescent="0.35">
      <c r="A94" s="2" t="s">
        <v>1007</v>
      </c>
      <c r="B94" s="4">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_xlfn.XLOOKUP(D94,products!$A$1:$A$49,products!$B$1:$B$49,,0)</f>
        <v>Exc</v>
      </c>
      <c r="J94" t="str">
        <f>_xlfn.XLOOKUP(D94,products!$A$1:$A$49,products!$C$1:$C$49,,0)</f>
        <v>L</v>
      </c>
      <c r="K94" s="7">
        <f>_xlfn.XLOOKUP(D94,products!$A$1:$A$49,products!$D$1:$D$49,,0)</f>
        <v>1</v>
      </c>
      <c r="L94" s="9">
        <f>_xlfn.XLOOKUP(D94,products!$A$1:$A$49,products!$E$1:$E$49,,0)</f>
        <v>14.85</v>
      </c>
      <c r="M94" s="9">
        <f t="shared" si="1"/>
        <v>44.55</v>
      </c>
      <c r="N94" s="3" t="str" cm="1">
        <f t="array" ref="N94">_xlfn.SWITCH(I94,
"Rob","Robusta",
"Exc","Excelsa",
"Ara","Arabica",
"Lib","Liberica",
"")</f>
        <v>Excelsa</v>
      </c>
      <c r="O94" t="str" cm="1">
        <f t="array" ref="O94">_xlfn.SWITCH(J94,
"M","Medium",
"L","Light",
"D","Dark",
"")</f>
        <v>Light</v>
      </c>
      <c r="P94" t="str">
        <f>_xlfn.XLOOKUP(Orders[[#This Row],[Customer ID]],customers!$A$1:$A$1001,customers!$I$1:$I$1001,,0)</f>
        <v>Yes</v>
      </c>
    </row>
    <row r="95" spans="1:16" x14ac:dyDescent="0.35">
      <c r="A95" s="2" t="s">
        <v>1012</v>
      </c>
      <c r="B95" s="4">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_xlfn.XLOOKUP(D95,products!$A$1:$A$49,products!$B$1:$B$49,,0)</f>
        <v>Exc</v>
      </c>
      <c r="J95" t="str">
        <f>_xlfn.XLOOKUP(D95,products!$A$1:$A$49,products!$C$1:$C$49,,0)</f>
        <v>L</v>
      </c>
      <c r="K95" s="7">
        <f>_xlfn.XLOOKUP(D95,products!$A$1:$A$49,products!$D$1:$D$49,,0)</f>
        <v>0.5</v>
      </c>
      <c r="L95" s="9">
        <f>_xlfn.XLOOKUP(D95,products!$A$1:$A$49,products!$E$1:$E$49,,0)</f>
        <v>8.91</v>
      </c>
      <c r="M95" s="9">
        <f t="shared" si="1"/>
        <v>35.64</v>
      </c>
      <c r="N95" s="3" t="str" cm="1">
        <f t="array" ref="N95">_xlfn.SWITCH(I95,
"Rob","Robusta",
"Exc","Excelsa",
"Ara","Arabica",
"Lib","Liberica",
"")</f>
        <v>Excelsa</v>
      </c>
      <c r="O95" t="str" cm="1">
        <f t="array" ref="O95">_xlfn.SWITCH(J95,
"M","Medium",
"L","Light",
"D","Dark",
"")</f>
        <v>Light</v>
      </c>
      <c r="P95" t="str">
        <f>_xlfn.XLOOKUP(Orders[[#This Row],[Customer ID]],customers!$A$1:$A$1001,customers!$I$1:$I$1001,,0)</f>
        <v>Yes</v>
      </c>
    </row>
    <row r="96" spans="1:16" x14ac:dyDescent="0.35">
      <c r="A96" s="2" t="s">
        <v>1018</v>
      </c>
      <c r="B96" s="4">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_xlfn.XLOOKUP(D96,products!$A$1:$A$49,products!$B$1:$B$49,,0)</f>
        <v>Ara</v>
      </c>
      <c r="J96" t="str">
        <f>_xlfn.XLOOKUP(D96,products!$A$1:$A$49,products!$C$1:$C$49,,0)</f>
        <v>D</v>
      </c>
      <c r="K96" s="7">
        <f>_xlfn.XLOOKUP(D96,products!$A$1:$A$49,products!$D$1:$D$49,,0)</f>
        <v>0.2</v>
      </c>
      <c r="L96" s="9">
        <f>_xlfn.XLOOKUP(D96,products!$A$1:$A$49,products!$E$1:$E$49,,0)</f>
        <v>2.9849999999999999</v>
      </c>
      <c r="M96" s="9">
        <f t="shared" si="1"/>
        <v>17.91</v>
      </c>
      <c r="N96" s="3" t="str" cm="1">
        <f t="array" ref="N96">_xlfn.SWITCH(I96,
"Rob","Robusta",
"Exc","Excelsa",
"Ara","Arabica",
"Lib","Liberica",
"")</f>
        <v>Arabica</v>
      </c>
      <c r="O96" t="str" cm="1">
        <f t="array" ref="O96">_xlfn.SWITCH(J96,
"M","Medium",
"L","Light",
"D","Dark",
"")</f>
        <v>Dark</v>
      </c>
      <c r="P96" t="str">
        <f>_xlfn.XLOOKUP(Orders[[#This Row],[Customer ID]],customers!$A$1:$A$1001,customers!$I$1:$I$1001,,0)</f>
        <v>Yes</v>
      </c>
    </row>
    <row r="97" spans="1:16" x14ac:dyDescent="0.35">
      <c r="A97" s="2" t="s">
        <v>1022</v>
      </c>
      <c r="B97" s="4">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_xlfn.XLOOKUP(D97,products!$A$1:$A$49,products!$B$1:$B$49,,0)</f>
        <v>Ara</v>
      </c>
      <c r="J97" t="str">
        <f>_xlfn.XLOOKUP(D97,products!$A$1:$A$49,products!$C$1:$C$49,,0)</f>
        <v>M</v>
      </c>
      <c r="K97" s="7">
        <f>_xlfn.XLOOKUP(D97,products!$A$1:$A$49,products!$D$1:$D$49,,0)</f>
        <v>2.5</v>
      </c>
      <c r="L97" s="9">
        <f>_xlfn.XLOOKUP(D97,products!$A$1:$A$49,products!$E$1:$E$49,,0)</f>
        <v>25.874999999999996</v>
      </c>
      <c r="M97" s="9">
        <f t="shared" si="1"/>
        <v>155.24999999999997</v>
      </c>
      <c r="N97" s="3" t="str" cm="1">
        <f t="array" ref="N97">_xlfn.SWITCH(I97,
"Rob","Robusta",
"Exc","Excelsa",
"Ara","Arabica",
"Lib","Liberica",
"")</f>
        <v>Arabica</v>
      </c>
      <c r="O97" t="str" cm="1">
        <f t="array" ref="O97">_xlfn.SWITCH(J97,
"M","Medium",
"L","Light",
"D","Dark",
"")</f>
        <v>Medium</v>
      </c>
      <c r="P97" t="str">
        <f>_xlfn.XLOOKUP(Orders[[#This Row],[Customer ID]],customers!$A$1:$A$1001,customers!$I$1:$I$1001,,0)</f>
        <v>No</v>
      </c>
    </row>
    <row r="98" spans="1:16" x14ac:dyDescent="0.35">
      <c r="A98" s="2" t="s">
        <v>1027</v>
      </c>
      <c r="B98" s="4">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_xlfn.XLOOKUP(D98,products!$A$1:$A$49,products!$B$1:$B$49,,0)</f>
        <v>Ara</v>
      </c>
      <c r="J98" t="str">
        <f>_xlfn.XLOOKUP(D98,products!$A$1:$A$49,products!$C$1:$C$49,,0)</f>
        <v>D</v>
      </c>
      <c r="K98" s="7">
        <f>_xlfn.XLOOKUP(D98,products!$A$1:$A$49,products!$D$1:$D$49,,0)</f>
        <v>0.2</v>
      </c>
      <c r="L98" s="9">
        <f>_xlfn.XLOOKUP(D98,products!$A$1:$A$49,products!$E$1:$E$49,,0)</f>
        <v>2.9849999999999999</v>
      </c>
      <c r="M98" s="9">
        <f t="shared" si="1"/>
        <v>5.97</v>
      </c>
      <c r="N98" s="3" t="str" cm="1">
        <f t="array" ref="N98">_xlfn.SWITCH(I98,
"Rob","Robusta",
"Exc","Excelsa",
"Ara","Arabica",
"Lib","Liberica",
"")</f>
        <v>Arabica</v>
      </c>
      <c r="O98" t="str" cm="1">
        <f t="array" ref="O98">_xlfn.SWITCH(J98,
"M","Medium",
"L","Light",
"D","Dark",
"")</f>
        <v>Dark</v>
      </c>
      <c r="P98" t="str">
        <f>_xlfn.XLOOKUP(Orders[[#This Row],[Customer ID]],customers!$A$1:$A$1001,customers!$I$1:$I$1001,,0)</f>
        <v>No</v>
      </c>
    </row>
    <row r="99" spans="1:16" x14ac:dyDescent="0.35">
      <c r="A99" s="2" t="s">
        <v>1032</v>
      </c>
      <c r="B99" s="4">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_xlfn.XLOOKUP(D99,products!$A$1:$A$49,products!$B$1:$B$49,,0)</f>
        <v>Ara</v>
      </c>
      <c r="J99" t="str">
        <f>_xlfn.XLOOKUP(D99,products!$A$1:$A$49,products!$C$1:$C$49,,0)</f>
        <v>M</v>
      </c>
      <c r="K99" s="7">
        <f>_xlfn.XLOOKUP(D99,products!$A$1:$A$49,products!$D$1:$D$49,,0)</f>
        <v>0.5</v>
      </c>
      <c r="L99" s="9">
        <f>_xlfn.XLOOKUP(D99,products!$A$1:$A$49,products!$E$1:$E$49,,0)</f>
        <v>6.75</v>
      </c>
      <c r="M99" s="9">
        <f t="shared" si="1"/>
        <v>13.5</v>
      </c>
      <c r="N99" s="3" t="str" cm="1">
        <f t="array" ref="N99">_xlfn.SWITCH(I99,
"Rob","Robusta",
"Exc","Excelsa",
"Ara","Arabica",
"Lib","Liberica",
"")</f>
        <v>Arabica</v>
      </c>
      <c r="O99" t="str" cm="1">
        <f t="array" ref="O99">_xlfn.SWITCH(J99,
"M","Medium",
"L","Light",
"D","Dark",
"")</f>
        <v>Medium</v>
      </c>
      <c r="P99" t="str">
        <f>_xlfn.XLOOKUP(Orders[[#This Row],[Customer ID]],customers!$A$1:$A$1001,customers!$I$1:$I$1001,,0)</f>
        <v>No</v>
      </c>
    </row>
    <row r="100" spans="1:16" x14ac:dyDescent="0.35">
      <c r="A100" s="2" t="s">
        <v>1038</v>
      </c>
      <c r="B100" s="4">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_xlfn.XLOOKUP(D100,products!$A$1:$A$49,products!$B$1:$B$49,,0)</f>
        <v>Ara</v>
      </c>
      <c r="J100" t="str">
        <f>_xlfn.XLOOKUP(D100,products!$A$1:$A$49,products!$C$1:$C$49,,0)</f>
        <v>D</v>
      </c>
      <c r="K100" s="7">
        <f>_xlfn.XLOOKUP(D100,products!$A$1:$A$49,products!$D$1:$D$49,,0)</f>
        <v>0.2</v>
      </c>
      <c r="L100" s="9">
        <f>_xlfn.XLOOKUP(D100,products!$A$1:$A$49,products!$E$1:$E$49,,0)</f>
        <v>2.9849999999999999</v>
      </c>
      <c r="M100" s="9">
        <f t="shared" si="1"/>
        <v>2.9849999999999999</v>
      </c>
      <c r="N100" s="3" t="str" cm="1">
        <f t="array" ref="N100">_xlfn.SWITCH(I100,
"Rob","Robusta",
"Exc","Excelsa",
"Ara","Arabica",
"Lib","Liberica",
"")</f>
        <v>Arabica</v>
      </c>
      <c r="O100" t="str" cm="1">
        <f t="array" ref="O100">_xlfn.SWITCH(J100,
"M","Medium",
"L","Light",
"D","Dark",
"")</f>
        <v>Dark</v>
      </c>
      <c r="P100" t="str">
        <f>_xlfn.XLOOKUP(Orders[[#This Row],[Customer ID]],customers!$A$1:$A$1001,customers!$I$1:$I$1001,,0)</f>
        <v>No</v>
      </c>
    </row>
    <row r="101" spans="1:16" x14ac:dyDescent="0.35">
      <c r="A101" s="2" t="s">
        <v>1043</v>
      </c>
      <c r="B101" s="4">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_xlfn.XLOOKUP(D101,products!$A$1:$A$49,products!$B$1:$B$49,,0)</f>
        <v>Lib</v>
      </c>
      <c r="J101" t="str">
        <f>_xlfn.XLOOKUP(D101,products!$A$1:$A$49,products!$C$1:$C$49,,0)</f>
        <v>M</v>
      </c>
      <c r="K101" s="7">
        <f>_xlfn.XLOOKUP(D101,products!$A$1:$A$49,products!$D$1:$D$49,,0)</f>
        <v>0.2</v>
      </c>
      <c r="L101" s="9">
        <f>_xlfn.XLOOKUP(D101,products!$A$1:$A$49,products!$E$1:$E$49,,0)</f>
        <v>4.3650000000000002</v>
      </c>
      <c r="M101" s="9">
        <f t="shared" si="1"/>
        <v>13.095000000000001</v>
      </c>
      <c r="N101" s="3" t="str" cm="1">
        <f t="array" ref="N101">_xlfn.SWITCH(I101,
"Rob","Robusta",
"Exc","Excelsa",
"Ara","Arabica",
"Lib","Liberica",
"")</f>
        <v>Liberica</v>
      </c>
      <c r="O101" t="str" cm="1">
        <f t="array" ref="O101">_xlfn.SWITCH(J101,
"M","Medium",
"L","Light",
"D","Dark",
"")</f>
        <v>Medium</v>
      </c>
      <c r="P101" t="str">
        <f>_xlfn.XLOOKUP(Orders[[#This Row],[Customer ID]],customers!$A$1:$A$1001,customers!$I$1:$I$1001,,0)</f>
        <v>Yes</v>
      </c>
    </row>
    <row r="102" spans="1:16" x14ac:dyDescent="0.35">
      <c r="A102" s="2" t="s">
        <v>1048</v>
      </c>
      <c r="B102" s="4">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_xlfn.XLOOKUP(D102,products!$A$1:$A$49,products!$B$1:$B$49,,0)</f>
        <v>Ara</v>
      </c>
      <c r="J102" t="str">
        <f>_xlfn.XLOOKUP(D102,products!$A$1:$A$49,products!$C$1:$C$49,,0)</f>
        <v>L</v>
      </c>
      <c r="K102" s="7">
        <f>_xlfn.XLOOKUP(D102,products!$A$1:$A$49,products!$D$1:$D$49,,0)</f>
        <v>0.2</v>
      </c>
      <c r="L102" s="9">
        <f>_xlfn.XLOOKUP(D102,products!$A$1:$A$49,products!$E$1:$E$49,,0)</f>
        <v>3.8849999999999998</v>
      </c>
      <c r="M102" s="9">
        <f t="shared" si="1"/>
        <v>7.77</v>
      </c>
      <c r="N102" s="3" t="str" cm="1">
        <f t="array" ref="N102">_xlfn.SWITCH(I102,
"Rob","Robusta",
"Exc","Excelsa",
"Ara","Arabica",
"Lib","Liberica",
"")</f>
        <v>Arabica</v>
      </c>
      <c r="O102" t="str" cm="1">
        <f t="array" ref="O102">_xlfn.SWITCH(J102,
"M","Medium",
"L","Light",
"D","Dark",
"")</f>
        <v>Light</v>
      </c>
      <c r="P102" t="str">
        <f>_xlfn.XLOOKUP(Orders[[#This Row],[Customer ID]],customers!$A$1:$A$1001,customers!$I$1:$I$1001,,0)</f>
        <v>Yes</v>
      </c>
    </row>
    <row r="103" spans="1:16" x14ac:dyDescent="0.35">
      <c r="A103" s="2" t="s">
        <v>1053</v>
      </c>
      <c r="B103" s="4">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_xlfn.XLOOKUP(D103,products!$A$1:$A$49,products!$B$1:$B$49,,0)</f>
        <v>Lib</v>
      </c>
      <c r="J103" t="str">
        <f>_xlfn.XLOOKUP(D103,products!$A$1:$A$49,products!$C$1:$C$49,,0)</f>
        <v>D</v>
      </c>
      <c r="K103" s="7">
        <f>_xlfn.XLOOKUP(D103,products!$A$1:$A$49,products!$D$1:$D$49,,0)</f>
        <v>2.5</v>
      </c>
      <c r="L103" s="9">
        <f>_xlfn.XLOOKUP(D103,products!$A$1:$A$49,products!$E$1:$E$49,,0)</f>
        <v>29.784999999999997</v>
      </c>
      <c r="M103" s="9">
        <f t="shared" si="1"/>
        <v>148.92499999999998</v>
      </c>
      <c r="N103" s="3" t="str" cm="1">
        <f t="array" ref="N103">_xlfn.SWITCH(I103,
"Rob","Robusta",
"Exc","Excelsa",
"Ara","Arabica",
"Lib","Liberica",
"")</f>
        <v>Liberica</v>
      </c>
      <c r="O103" t="str" cm="1">
        <f t="array" ref="O103">_xlfn.SWITCH(J103,
"M","Medium",
"L","Light",
"D","Dark",
"")</f>
        <v>Dark</v>
      </c>
      <c r="P103" t="str">
        <f>_xlfn.XLOOKUP(Orders[[#This Row],[Customer ID]],customers!$A$1:$A$1001,customers!$I$1:$I$1001,,0)</f>
        <v>Yes</v>
      </c>
    </row>
    <row r="104" spans="1:16" x14ac:dyDescent="0.35">
      <c r="A104" s="2" t="s">
        <v>1059</v>
      </c>
      <c r="B104" s="4">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_xlfn.XLOOKUP(D104,products!$A$1:$A$49,products!$B$1:$B$49,,0)</f>
        <v>Lib</v>
      </c>
      <c r="J104" t="str">
        <f>_xlfn.XLOOKUP(D104,products!$A$1:$A$49,products!$C$1:$C$49,,0)</f>
        <v>D</v>
      </c>
      <c r="K104" s="7">
        <f>_xlfn.XLOOKUP(D104,products!$A$1:$A$49,products!$D$1:$D$49,,0)</f>
        <v>1</v>
      </c>
      <c r="L104" s="9">
        <f>_xlfn.XLOOKUP(D104,products!$A$1:$A$49,products!$E$1:$E$49,,0)</f>
        <v>12.95</v>
      </c>
      <c r="M104" s="9">
        <f t="shared" si="1"/>
        <v>38.849999999999994</v>
      </c>
      <c r="N104" s="3" t="str" cm="1">
        <f t="array" ref="N104">_xlfn.SWITCH(I104,
"Rob","Robusta",
"Exc","Excelsa",
"Ara","Arabica",
"Lib","Liberica",
"")</f>
        <v>Liberica</v>
      </c>
      <c r="O104" t="str" cm="1">
        <f t="array" ref="O104">_xlfn.SWITCH(J104,
"M","Medium",
"L","Light",
"D","Dark",
"")</f>
        <v>Dark</v>
      </c>
      <c r="P104" t="str">
        <f>_xlfn.XLOOKUP(Orders[[#This Row],[Customer ID]],customers!$A$1:$A$1001,customers!$I$1:$I$1001,,0)</f>
        <v>Yes</v>
      </c>
    </row>
    <row r="105" spans="1:16" x14ac:dyDescent="0.35">
      <c r="A105" s="2" t="s">
        <v>1065</v>
      </c>
      <c r="B105" s="4">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_xlfn.XLOOKUP(D105,products!$A$1:$A$49,products!$B$1:$B$49,,0)</f>
        <v>Rob</v>
      </c>
      <c r="J105" t="str">
        <f>_xlfn.XLOOKUP(D105,products!$A$1:$A$49,products!$C$1:$C$49,,0)</f>
        <v>M</v>
      </c>
      <c r="K105" s="7">
        <f>_xlfn.XLOOKUP(D105,products!$A$1:$A$49,products!$D$1:$D$49,,0)</f>
        <v>0.2</v>
      </c>
      <c r="L105" s="9">
        <f>_xlfn.XLOOKUP(D105,products!$A$1:$A$49,products!$E$1:$E$49,,0)</f>
        <v>2.9849999999999999</v>
      </c>
      <c r="M105" s="9">
        <f t="shared" si="1"/>
        <v>11.94</v>
      </c>
      <c r="N105" s="3" t="str" cm="1">
        <f t="array" ref="N105">_xlfn.SWITCH(I105,
"Rob","Robusta",
"Exc","Excelsa",
"Ara","Arabica",
"Lib","Liberica",
"")</f>
        <v>Robusta</v>
      </c>
      <c r="O105" t="str" cm="1">
        <f t="array" ref="O105">_xlfn.SWITCH(J105,
"M","Medium",
"L","Light",
"D","Dark",
"")</f>
        <v>Medium</v>
      </c>
      <c r="P105" t="str">
        <f>_xlfn.XLOOKUP(Orders[[#This Row],[Customer ID]],customers!$A$1:$A$1001,customers!$I$1:$I$1001,,0)</f>
        <v>No</v>
      </c>
    </row>
    <row r="106" spans="1:16" x14ac:dyDescent="0.35">
      <c r="A106" s="2" t="s">
        <v>1071</v>
      </c>
      <c r="B106" s="4">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_xlfn.XLOOKUP(D106,products!$A$1:$A$49,products!$B$1:$B$49,,0)</f>
        <v>Lib</v>
      </c>
      <c r="J106" t="str">
        <f>_xlfn.XLOOKUP(D106,products!$A$1:$A$49,products!$C$1:$C$49,,0)</f>
        <v>M</v>
      </c>
      <c r="K106" s="7">
        <f>_xlfn.XLOOKUP(D106,products!$A$1:$A$49,products!$D$1:$D$49,,0)</f>
        <v>1</v>
      </c>
      <c r="L106" s="9">
        <f>_xlfn.XLOOKUP(D106,products!$A$1:$A$49,products!$E$1:$E$49,,0)</f>
        <v>14.55</v>
      </c>
      <c r="M106" s="9">
        <f t="shared" si="1"/>
        <v>87.300000000000011</v>
      </c>
      <c r="N106" s="3" t="str" cm="1">
        <f t="array" ref="N106">_xlfn.SWITCH(I106,
"Rob","Robusta",
"Exc","Excelsa",
"Ara","Arabica",
"Lib","Liberica",
"")</f>
        <v>Liberica</v>
      </c>
      <c r="O106" t="str" cm="1">
        <f t="array" ref="O106">_xlfn.SWITCH(J106,
"M","Medium",
"L","Light",
"D","Dark",
"")</f>
        <v>Medium</v>
      </c>
      <c r="P106" t="str">
        <f>_xlfn.XLOOKUP(Orders[[#This Row],[Customer ID]],customers!$A$1:$A$1001,customers!$I$1:$I$1001,,0)</f>
        <v>No</v>
      </c>
    </row>
    <row r="107" spans="1:16" x14ac:dyDescent="0.35">
      <c r="A107" s="2" t="s">
        <v>1077</v>
      </c>
      <c r="B107" s="4">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_xlfn.XLOOKUP(D107,products!$A$1:$A$49,products!$B$1:$B$49,,0)</f>
        <v>Ara</v>
      </c>
      <c r="J107" t="str">
        <f>_xlfn.XLOOKUP(D107,products!$A$1:$A$49,products!$C$1:$C$49,,0)</f>
        <v>M</v>
      </c>
      <c r="K107" s="7">
        <f>_xlfn.XLOOKUP(D107,products!$A$1:$A$49,products!$D$1:$D$49,,0)</f>
        <v>0.5</v>
      </c>
      <c r="L107" s="9">
        <f>_xlfn.XLOOKUP(D107,products!$A$1:$A$49,products!$E$1:$E$49,,0)</f>
        <v>6.75</v>
      </c>
      <c r="M107" s="9">
        <f t="shared" si="1"/>
        <v>40.5</v>
      </c>
      <c r="N107" s="3" t="str" cm="1">
        <f t="array" ref="N107">_xlfn.SWITCH(I107,
"Rob","Robusta",
"Exc","Excelsa",
"Ara","Arabica",
"Lib","Liberica",
"")</f>
        <v>Arabica</v>
      </c>
      <c r="O107" t="str" cm="1">
        <f t="array" ref="O107">_xlfn.SWITCH(J107,
"M","Medium",
"L","Light",
"D","Dark",
"")</f>
        <v>Medium</v>
      </c>
      <c r="P107" t="str">
        <f>_xlfn.XLOOKUP(Orders[[#This Row],[Customer ID]],customers!$A$1:$A$1001,customers!$I$1:$I$1001,,0)</f>
        <v>Yes</v>
      </c>
    </row>
    <row r="108" spans="1:16" x14ac:dyDescent="0.35">
      <c r="A108" s="2" t="s">
        <v>1083</v>
      </c>
      <c r="B108" s="4">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_xlfn.XLOOKUP(D108,products!$A$1:$A$49,products!$B$1:$B$49,,0)</f>
        <v>Exc</v>
      </c>
      <c r="J108" t="str">
        <f>_xlfn.XLOOKUP(D108,products!$A$1:$A$49,products!$C$1:$C$49,,0)</f>
        <v>D</v>
      </c>
      <c r="K108" s="7">
        <f>_xlfn.XLOOKUP(D108,products!$A$1:$A$49,products!$D$1:$D$49,,0)</f>
        <v>1</v>
      </c>
      <c r="L108" s="9">
        <f>_xlfn.XLOOKUP(D108,products!$A$1:$A$49,products!$E$1:$E$49,,0)</f>
        <v>12.15</v>
      </c>
      <c r="M108" s="9">
        <f t="shared" si="1"/>
        <v>24.3</v>
      </c>
      <c r="N108" s="3" t="str" cm="1">
        <f t="array" ref="N108">_xlfn.SWITCH(I108,
"Rob","Robusta",
"Exc","Excelsa",
"Ara","Arabica",
"Lib","Liberica",
"")</f>
        <v>Excelsa</v>
      </c>
      <c r="O108" t="str" cm="1">
        <f t="array" ref="O108">_xlfn.SWITCH(J108,
"M","Medium",
"L","Light",
"D","Dark",
"")</f>
        <v>Dark</v>
      </c>
      <c r="P108" t="str">
        <f>_xlfn.XLOOKUP(Orders[[#This Row],[Customer ID]],customers!$A$1:$A$1001,customers!$I$1:$I$1001,,0)</f>
        <v>No</v>
      </c>
    </row>
    <row r="109" spans="1:16" x14ac:dyDescent="0.35">
      <c r="A109" s="2" t="s">
        <v>1089</v>
      </c>
      <c r="B109" s="4">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_xlfn.XLOOKUP(D109,products!$A$1:$A$49,products!$B$1:$B$49,,0)</f>
        <v>Rob</v>
      </c>
      <c r="J109" t="str">
        <f>_xlfn.XLOOKUP(D109,products!$A$1:$A$49,products!$C$1:$C$49,,0)</f>
        <v>M</v>
      </c>
      <c r="K109" s="7">
        <f>_xlfn.XLOOKUP(D109,products!$A$1:$A$49,products!$D$1:$D$49,,0)</f>
        <v>0.5</v>
      </c>
      <c r="L109" s="9">
        <f>_xlfn.XLOOKUP(D109,products!$A$1:$A$49,products!$E$1:$E$49,,0)</f>
        <v>5.97</v>
      </c>
      <c r="M109" s="9">
        <f t="shared" si="1"/>
        <v>17.91</v>
      </c>
      <c r="N109" s="3" t="str" cm="1">
        <f t="array" ref="N109">_xlfn.SWITCH(I109,
"Rob","Robusta",
"Exc","Excelsa",
"Ara","Arabica",
"Lib","Liberica",
"")</f>
        <v>Robusta</v>
      </c>
      <c r="O109" t="str" cm="1">
        <f t="array" ref="O109">_xlfn.SWITCH(J109,
"M","Medium",
"L","Light",
"D","Dark",
"")</f>
        <v>Medium</v>
      </c>
      <c r="P109" t="str">
        <f>_xlfn.XLOOKUP(Orders[[#This Row],[Customer ID]],customers!$A$1:$A$1001,customers!$I$1:$I$1001,,0)</f>
        <v>Yes</v>
      </c>
    </row>
    <row r="110" spans="1:16" x14ac:dyDescent="0.35">
      <c r="A110" s="2" t="s">
        <v>1095</v>
      </c>
      <c r="B110" s="4">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_xlfn.XLOOKUP(D110,products!$A$1:$A$49,products!$B$1:$B$49,,0)</f>
        <v>Ara</v>
      </c>
      <c r="J110" t="str">
        <f>_xlfn.XLOOKUP(D110,products!$A$1:$A$49,products!$C$1:$C$49,,0)</f>
        <v>M</v>
      </c>
      <c r="K110" s="7">
        <f>_xlfn.XLOOKUP(D110,products!$A$1:$A$49,products!$D$1:$D$49,,0)</f>
        <v>0.5</v>
      </c>
      <c r="L110" s="9">
        <f>_xlfn.XLOOKUP(D110,products!$A$1:$A$49,products!$E$1:$E$49,,0)</f>
        <v>6.75</v>
      </c>
      <c r="M110" s="9">
        <f t="shared" si="1"/>
        <v>27</v>
      </c>
      <c r="N110" s="3" t="str" cm="1">
        <f t="array" ref="N110">_xlfn.SWITCH(I110,
"Rob","Robusta",
"Exc","Excelsa",
"Ara","Arabica",
"Lib","Liberica",
"")</f>
        <v>Arabica</v>
      </c>
      <c r="O110" t="str" cm="1">
        <f t="array" ref="O110">_xlfn.SWITCH(J110,
"M","Medium",
"L","Light",
"D","Dark",
"")</f>
        <v>Medium</v>
      </c>
      <c r="P110" t="str">
        <f>_xlfn.XLOOKUP(Orders[[#This Row],[Customer ID]],customers!$A$1:$A$1001,customers!$I$1:$I$1001,,0)</f>
        <v>No</v>
      </c>
    </row>
    <row r="111" spans="1:16" x14ac:dyDescent="0.35">
      <c r="A111" s="2" t="s">
        <v>1100</v>
      </c>
      <c r="B111" s="4">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_xlfn.XLOOKUP(D111,products!$A$1:$A$49,products!$B$1:$B$49,,0)</f>
        <v>Lib</v>
      </c>
      <c r="J111" t="str">
        <f>_xlfn.XLOOKUP(D111,products!$A$1:$A$49,products!$C$1:$C$49,,0)</f>
        <v>D</v>
      </c>
      <c r="K111" s="7">
        <f>_xlfn.XLOOKUP(D111,products!$A$1:$A$49,products!$D$1:$D$49,,0)</f>
        <v>0.5</v>
      </c>
      <c r="L111" s="9">
        <f>_xlfn.XLOOKUP(D111,products!$A$1:$A$49,products!$E$1:$E$49,,0)</f>
        <v>7.77</v>
      </c>
      <c r="M111" s="9">
        <f t="shared" si="1"/>
        <v>7.77</v>
      </c>
      <c r="N111" s="3" t="str" cm="1">
        <f t="array" ref="N111">_xlfn.SWITCH(I111,
"Rob","Robusta",
"Exc","Excelsa",
"Ara","Arabica",
"Lib","Liberica",
"")</f>
        <v>Liberica</v>
      </c>
      <c r="O111" t="str" cm="1">
        <f t="array" ref="O111">_xlfn.SWITCH(J111,
"M","Medium",
"L","Light",
"D","Dark",
"")</f>
        <v>Dark</v>
      </c>
      <c r="P111" t="str">
        <f>_xlfn.XLOOKUP(Orders[[#This Row],[Customer ID]],customers!$A$1:$A$1001,customers!$I$1:$I$1001,,0)</f>
        <v>Yes</v>
      </c>
    </row>
    <row r="112" spans="1:16" x14ac:dyDescent="0.35">
      <c r="A112" s="2" t="s">
        <v>1106</v>
      </c>
      <c r="B112" s="4">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_xlfn.XLOOKUP(D112,products!$A$1:$A$49,products!$B$1:$B$49,,0)</f>
        <v>Exc</v>
      </c>
      <c r="J112" t="str">
        <f>_xlfn.XLOOKUP(D112,products!$A$1:$A$49,products!$C$1:$C$49,,0)</f>
        <v>L</v>
      </c>
      <c r="K112" s="7">
        <f>_xlfn.XLOOKUP(D112,products!$A$1:$A$49,products!$D$1:$D$49,,0)</f>
        <v>0.2</v>
      </c>
      <c r="L112" s="9">
        <f>_xlfn.XLOOKUP(D112,products!$A$1:$A$49,products!$E$1:$E$49,,0)</f>
        <v>4.4550000000000001</v>
      </c>
      <c r="M112" s="9">
        <f t="shared" si="1"/>
        <v>13.365</v>
      </c>
      <c r="N112" s="3" t="str" cm="1">
        <f t="array" ref="N112">_xlfn.SWITCH(I112,
"Rob","Robusta",
"Exc","Excelsa",
"Ara","Arabica",
"Lib","Liberica",
"")</f>
        <v>Excelsa</v>
      </c>
      <c r="O112" t="str" cm="1">
        <f t="array" ref="O112">_xlfn.SWITCH(J112,
"M","Medium",
"L","Light",
"D","Dark",
"")</f>
        <v>Light</v>
      </c>
      <c r="P112" t="str">
        <f>_xlfn.XLOOKUP(Orders[[#This Row],[Customer ID]],customers!$A$1:$A$1001,customers!$I$1:$I$1001,,0)</f>
        <v>Yes</v>
      </c>
    </row>
    <row r="113" spans="1:16" x14ac:dyDescent="0.35">
      <c r="A113" s="2" t="s">
        <v>1112</v>
      </c>
      <c r="B113" s="4">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_xlfn.XLOOKUP(D113,products!$A$1:$A$49,products!$B$1:$B$49,,0)</f>
        <v>Rob</v>
      </c>
      <c r="J113" t="str">
        <f>_xlfn.XLOOKUP(D113,products!$A$1:$A$49,products!$C$1:$C$49,,0)</f>
        <v>D</v>
      </c>
      <c r="K113" s="7">
        <f>_xlfn.XLOOKUP(D113,products!$A$1:$A$49,products!$D$1:$D$49,,0)</f>
        <v>0.5</v>
      </c>
      <c r="L113" s="9">
        <f>_xlfn.XLOOKUP(D113,products!$A$1:$A$49,products!$E$1:$E$49,,0)</f>
        <v>5.3699999999999992</v>
      </c>
      <c r="M113" s="9">
        <f t="shared" si="1"/>
        <v>26.849999999999994</v>
      </c>
      <c r="N113" s="3" t="str" cm="1">
        <f t="array" ref="N113">_xlfn.SWITCH(I113,
"Rob","Robusta",
"Exc","Excelsa",
"Ara","Arabica",
"Lib","Liberica",
"")</f>
        <v>Robusta</v>
      </c>
      <c r="O113" t="str" cm="1">
        <f t="array" ref="O113">_xlfn.SWITCH(J113,
"M","Medium",
"L","Light",
"D","Dark",
"")</f>
        <v>Dark</v>
      </c>
      <c r="P113" t="str">
        <f>_xlfn.XLOOKUP(Orders[[#This Row],[Customer ID]],customers!$A$1:$A$1001,customers!$I$1:$I$1001,,0)</f>
        <v>No</v>
      </c>
    </row>
    <row r="114" spans="1:16" x14ac:dyDescent="0.35">
      <c r="A114" s="2" t="s">
        <v>1117</v>
      </c>
      <c r="B114" s="4">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_xlfn.XLOOKUP(D114,products!$A$1:$A$49,products!$B$1:$B$49,,0)</f>
        <v>Ara</v>
      </c>
      <c r="J114" t="str">
        <f>_xlfn.XLOOKUP(D114,products!$A$1:$A$49,products!$C$1:$C$49,,0)</f>
        <v>M</v>
      </c>
      <c r="K114" s="7">
        <f>_xlfn.XLOOKUP(D114,products!$A$1:$A$49,products!$D$1:$D$49,,0)</f>
        <v>1</v>
      </c>
      <c r="L114" s="9">
        <f>_xlfn.XLOOKUP(D114,products!$A$1:$A$49,products!$E$1:$E$49,,0)</f>
        <v>11.25</v>
      </c>
      <c r="M114" s="9">
        <f t="shared" si="1"/>
        <v>11.25</v>
      </c>
      <c r="N114" s="3" t="str" cm="1">
        <f t="array" ref="N114">_xlfn.SWITCH(I114,
"Rob","Robusta",
"Exc","Excelsa",
"Ara","Arabica",
"Lib","Liberica",
"")</f>
        <v>Arabica</v>
      </c>
      <c r="O114" t="str" cm="1">
        <f t="array" ref="O114">_xlfn.SWITCH(J114,
"M","Medium",
"L","Light",
"D","Dark",
"")</f>
        <v>Medium</v>
      </c>
      <c r="P114" t="str">
        <f>_xlfn.XLOOKUP(Orders[[#This Row],[Customer ID]],customers!$A$1:$A$1001,customers!$I$1:$I$1001,,0)</f>
        <v>No</v>
      </c>
    </row>
    <row r="115" spans="1:16" x14ac:dyDescent="0.35">
      <c r="A115" s="2" t="s">
        <v>1123</v>
      </c>
      <c r="B115" s="4">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_xlfn.XLOOKUP(D115,products!$A$1:$A$49,products!$B$1:$B$49,,0)</f>
        <v>Lib</v>
      </c>
      <c r="J115" t="str">
        <f>_xlfn.XLOOKUP(D115,products!$A$1:$A$49,products!$C$1:$C$49,,0)</f>
        <v>M</v>
      </c>
      <c r="K115" s="7">
        <f>_xlfn.XLOOKUP(D115,products!$A$1:$A$49,products!$D$1:$D$49,,0)</f>
        <v>1</v>
      </c>
      <c r="L115" s="9">
        <f>_xlfn.XLOOKUP(D115,products!$A$1:$A$49,products!$E$1:$E$49,,0)</f>
        <v>14.55</v>
      </c>
      <c r="M115" s="9">
        <f t="shared" si="1"/>
        <v>14.55</v>
      </c>
      <c r="N115" s="3" t="str" cm="1">
        <f t="array" ref="N115">_xlfn.SWITCH(I115,
"Rob","Robusta",
"Exc","Excelsa",
"Ara","Arabica",
"Lib","Liberica",
"")</f>
        <v>Liberica</v>
      </c>
      <c r="O115" t="str" cm="1">
        <f t="array" ref="O115">_xlfn.SWITCH(J115,
"M","Medium",
"L","Light",
"D","Dark",
"")</f>
        <v>Medium</v>
      </c>
      <c r="P115" t="str">
        <f>_xlfn.XLOOKUP(Orders[[#This Row],[Customer ID]],customers!$A$1:$A$1001,customers!$I$1:$I$1001,,0)</f>
        <v>No</v>
      </c>
    </row>
    <row r="116" spans="1:16" x14ac:dyDescent="0.35">
      <c r="A116" s="2" t="s">
        <v>1129</v>
      </c>
      <c r="B116" s="4">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_xlfn.XLOOKUP(D116,products!$A$1:$A$49,products!$B$1:$B$49,,0)</f>
        <v>Rob</v>
      </c>
      <c r="J116" t="str">
        <f>_xlfn.XLOOKUP(D116,products!$A$1:$A$49,products!$C$1:$C$49,,0)</f>
        <v>L</v>
      </c>
      <c r="K116" s="7">
        <f>_xlfn.XLOOKUP(D116,products!$A$1:$A$49,products!$D$1:$D$49,,0)</f>
        <v>0.2</v>
      </c>
      <c r="L116" s="9">
        <f>_xlfn.XLOOKUP(D116,products!$A$1:$A$49,products!$E$1:$E$49,,0)</f>
        <v>3.5849999999999995</v>
      </c>
      <c r="M116" s="9">
        <f t="shared" si="1"/>
        <v>14.339999999999998</v>
      </c>
      <c r="N116" s="3" t="str" cm="1">
        <f t="array" ref="N116">_xlfn.SWITCH(I116,
"Rob","Robusta",
"Exc","Excelsa",
"Ara","Arabica",
"Lib","Liberica",
"")</f>
        <v>Robusta</v>
      </c>
      <c r="O116" t="str" cm="1">
        <f t="array" ref="O116">_xlfn.SWITCH(J116,
"M","Medium",
"L","Light",
"D","Dark",
"")</f>
        <v>Light</v>
      </c>
      <c r="P116" t="str">
        <f>_xlfn.XLOOKUP(Orders[[#This Row],[Customer ID]],customers!$A$1:$A$1001,customers!$I$1:$I$1001,,0)</f>
        <v>No</v>
      </c>
    </row>
    <row r="117" spans="1:16" x14ac:dyDescent="0.35">
      <c r="A117" s="2" t="s">
        <v>1134</v>
      </c>
      <c r="B117" s="4">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_xlfn.XLOOKUP(D117,products!$A$1:$A$49,products!$B$1:$B$49,,0)</f>
        <v>Lib</v>
      </c>
      <c r="J117" t="str">
        <f>_xlfn.XLOOKUP(D117,products!$A$1:$A$49,products!$C$1:$C$49,,0)</f>
        <v>L</v>
      </c>
      <c r="K117" s="7">
        <f>_xlfn.XLOOKUP(D117,products!$A$1:$A$49,products!$D$1:$D$49,,0)</f>
        <v>1</v>
      </c>
      <c r="L117" s="9">
        <f>_xlfn.XLOOKUP(D117,products!$A$1:$A$49,products!$E$1:$E$49,,0)</f>
        <v>15.85</v>
      </c>
      <c r="M117" s="9">
        <f t="shared" si="1"/>
        <v>15.85</v>
      </c>
      <c r="N117" s="3" t="str" cm="1">
        <f t="array" ref="N117">_xlfn.SWITCH(I117,
"Rob","Robusta",
"Exc","Excelsa",
"Ara","Arabica",
"Lib","Liberica",
"")</f>
        <v>Liberica</v>
      </c>
      <c r="O117" t="str" cm="1">
        <f t="array" ref="O117">_xlfn.SWITCH(J117,
"M","Medium",
"L","Light",
"D","Dark",
"")</f>
        <v>Light</v>
      </c>
      <c r="P117" t="str">
        <f>_xlfn.XLOOKUP(Orders[[#This Row],[Customer ID]],customers!$A$1:$A$1001,customers!$I$1:$I$1001,,0)</f>
        <v>No</v>
      </c>
    </row>
    <row r="118" spans="1:16" x14ac:dyDescent="0.35">
      <c r="A118" s="2" t="s">
        <v>1140</v>
      </c>
      <c r="B118" s="4">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_xlfn.XLOOKUP(D118,products!$A$1:$A$49,products!$B$1:$B$49,,0)</f>
        <v>Lib</v>
      </c>
      <c r="J118" t="str">
        <f>_xlfn.XLOOKUP(D118,products!$A$1:$A$49,products!$C$1:$C$49,,0)</f>
        <v>L</v>
      </c>
      <c r="K118" s="7">
        <f>_xlfn.XLOOKUP(D118,products!$A$1:$A$49,products!$D$1:$D$49,,0)</f>
        <v>0.2</v>
      </c>
      <c r="L118" s="9">
        <f>_xlfn.XLOOKUP(D118,products!$A$1:$A$49,products!$E$1:$E$49,,0)</f>
        <v>4.7549999999999999</v>
      </c>
      <c r="M118" s="9">
        <f t="shared" si="1"/>
        <v>19.02</v>
      </c>
      <c r="N118" s="3" t="str" cm="1">
        <f t="array" ref="N118">_xlfn.SWITCH(I118,
"Rob","Robusta",
"Exc","Excelsa",
"Ara","Arabica",
"Lib","Liberica",
"")</f>
        <v>Liberica</v>
      </c>
      <c r="O118" t="str" cm="1">
        <f t="array" ref="O118">_xlfn.SWITCH(J118,
"M","Medium",
"L","Light",
"D","Dark",
"")</f>
        <v>Light</v>
      </c>
      <c r="P118" t="str">
        <f>_xlfn.XLOOKUP(Orders[[#This Row],[Customer ID]],customers!$A$1:$A$1001,customers!$I$1:$I$1001,,0)</f>
        <v>Yes</v>
      </c>
    </row>
    <row r="119" spans="1:16" x14ac:dyDescent="0.35">
      <c r="A119" s="2" t="s">
        <v>1146</v>
      </c>
      <c r="B119" s="4">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_xlfn.XLOOKUP(D119,products!$A$1:$A$49,products!$B$1:$B$49,,0)</f>
        <v>Lib</v>
      </c>
      <c r="J119" t="str">
        <f>_xlfn.XLOOKUP(D119,products!$A$1:$A$49,products!$C$1:$C$49,,0)</f>
        <v>L</v>
      </c>
      <c r="K119" s="7">
        <f>_xlfn.XLOOKUP(D119,products!$A$1:$A$49,products!$D$1:$D$49,,0)</f>
        <v>0.5</v>
      </c>
      <c r="L119" s="9">
        <f>_xlfn.XLOOKUP(D119,products!$A$1:$A$49,products!$E$1:$E$49,,0)</f>
        <v>9.51</v>
      </c>
      <c r="M119" s="9">
        <f t="shared" si="1"/>
        <v>38.04</v>
      </c>
      <c r="N119" s="3" t="str" cm="1">
        <f t="array" ref="N119">_xlfn.SWITCH(I119,
"Rob","Robusta",
"Exc","Excelsa",
"Ara","Arabica",
"Lib","Liberica",
"")</f>
        <v>Liberica</v>
      </c>
      <c r="O119" t="str" cm="1">
        <f t="array" ref="O119">_xlfn.SWITCH(J119,
"M","Medium",
"L","Light",
"D","Dark",
"")</f>
        <v>Light</v>
      </c>
      <c r="P119" t="str">
        <f>_xlfn.XLOOKUP(Orders[[#This Row],[Customer ID]],customers!$A$1:$A$1001,customers!$I$1:$I$1001,,0)</f>
        <v>No</v>
      </c>
    </row>
    <row r="120" spans="1:16" x14ac:dyDescent="0.35">
      <c r="A120" s="2" t="s">
        <v>1152</v>
      </c>
      <c r="B120" s="4">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_xlfn.XLOOKUP(D120,products!$A$1:$A$49,products!$B$1:$B$49,,0)</f>
        <v>Exc</v>
      </c>
      <c r="J120" t="str">
        <f>_xlfn.XLOOKUP(D120,products!$A$1:$A$49,products!$C$1:$C$49,,0)</f>
        <v>D</v>
      </c>
      <c r="K120" s="7">
        <f>_xlfn.XLOOKUP(D120,products!$A$1:$A$49,products!$D$1:$D$49,,0)</f>
        <v>0.5</v>
      </c>
      <c r="L120" s="9">
        <f>_xlfn.XLOOKUP(D120,products!$A$1:$A$49,products!$E$1:$E$49,,0)</f>
        <v>7.29</v>
      </c>
      <c r="M120" s="9">
        <f t="shared" si="1"/>
        <v>21.87</v>
      </c>
      <c r="N120" s="3" t="str" cm="1">
        <f t="array" ref="N120">_xlfn.SWITCH(I120,
"Rob","Robusta",
"Exc","Excelsa",
"Ara","Arabica",
"Lib","Liberica",
"")</f>
        <v>Excelsa</v>
      </c>
      <c r="O120" t="str" cm="1">
        <f t="array" ref="O120">_xlfn.SWITCH(J120,
"M","Medium",
"L","Light",
"D","Dark",
"")</f>
        <v>Dark</v>
      </c>
      <c r="P120" t="str">
        <f>_xlfn.XLOOKUP(Orders[[#This Row],[Customer ID]],customers!$A$1:$A$1001,customers!$I$1:$I$1001,,0)</f>
        <v>Yes</v>
      </c>
    </row>
    <row r="121" spans="1:16" x14ac:dyDescent="0.35">
      <c r="A121" s="2" t="s">
        <v>1158</v>
      </c>
      <c r="B121" s="4">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_xlfn.XLOOKUP(D121,products!$A$1:$A$49,products!$B$1:$B$49,,0)</f>
        <v>Exc</v>
      </c>
      <c r="J121" t="str">
        <f>_xlfn.XLOOKUP(D121,products!$A$1:$A$49,products!$C$1:$C$49,,0)</f>
        <v>M</v>
      </c>
      <c r="K121" s="7">
        <f>_xlfn.XLOOKUP(D121,products!$A$1:$A$49,products!$D$1:$D$49,,0)</f>
        <v>0.2</v>
      </c>
      <c r="L121" s="9">
        <f>_xlfn.XLOOKUP(D121,products!$A$1:$A$49,products!$E$1:$E$49,,0)</f>
        <v>4.125</v>
      </c>
      <c r="M121" s="9">
        <f t="shared" si="1"/>
        <v>4.125</v>
      </c>
      <c r="N121" s="3" t="str" cm="1">
        <f t="array" ref="N121">_xlfn.SWITCH(I121,
"Rob","Robusta",
"Exc","Excelsa",
"Ara","Arabica",
"Lib","Liberica",
"")</f>
        <v>Excelsa</v>
      </c>
      <c r="O121" t="str" cm="1">
        <f t="array" ref="O121">_xlfn.SWITCH(J121,
"M","Medium",
"L","Light",
"D","Dark",
"")</f>
        <v>Medium</v>
      </c>
      <c r="P121" t="str">
        <f>_xlfn.XLOOKUP(Orders[[#This Row],[Customer ID]],customers!$A$1:$A$1001,customers!$I$1:$I$1001,,0)</f>
        <v>No</v>
      </c>
    </row>
    <row r="122" spans="1:16" x14ac:dyDescent="0.35">
      <c r="A122" s="2" t="s">
        <v>1158</v>
      </c>
      <c r="B122" s="4">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_xlfn.XLOOKUP(D122,products!$A$1:$A$49,products!$B$1:$B$49,,0)</f>
        <v>Ara</v>
      </c>
      <c r="J122" t="str">
        <f>_xlfn.XLOOKUP(D122,products!$A$1:$A$49,products!$C$1:$C$49,,0)</f>
        <v>L</v>
      </c>
      <c r="K122" s="7">
        <f>_xlfn.XLOOKUP(D122,products!$A$1:$A$49,products!$D$1:$D$49,,0)</f>
        <v>0.2</v>
      </c>
      <c r="L122" s="9">
        <f>_xlfn.XLOOKUP(D122,products!$A$1:$A$49,products!$E$1:$E$49,,0)</f>
        <v>3.8849999999999998</v>
      </c>
      <c r="M122" s="9">
        <f t="shared" si="1"/>
        <v>3.8849999999999998</v>
      </c>
      <c r="N122" s="3" t="str" cm="1">
        <f t="array" ref="N122">_xlfn.SWITCH(I122,
"Rob","Robusta",
"Exc","Excelsa",
"Ara","Arabica",
"Lib","Liberica",
"")</f>
        <v>Arabica</v>
      </c>
      <c r="O122" t="str" cm="1">
        <f t="array" ref="O122">_xlfn.SWITCH(J122,
"M","Medium",
"L","Light",
"D","Dark",
"")</f>
        <v>Light</v>
      </c>
      <c r="P122" t="str">
        <f>_xlfn.XLOOKUP(Orders[[#This Row],[Customer ID]],customers!$A$1:$A$1001,customers!$I$1:$I$1001,,0)</f>
        <v>No</v>
      </c>
    </row>
    <row r="123" spans="1:16" x14ac:dyDescent="0.35">
      <c r="A123" s="2" t="s">
        <v>1158</v>
      </c>
      <c r="B123" s="4">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_xlfn.XLOOKUP(D123,products!$A$1:$A$49,products!$B$1:$B$49,,0)</f>
        <v>Exc</v>
      </c>
      <c r="J123" t="str">
        <f>_xlfn.XLOOKUP(D123,products!$A$1:$A$49,products!$C$1:$C$49,,0)</f>
        <v>M</v>
      </c>
      <c r="K123" s="7">
        <f>_xlfn.XLOOKUP(D123,products!$A$1:$A$49,products!$D$1:$D$49,,0)</f>
        <v>1</v>
      </c>
      <c r="L123" s="9">
        <f>_xlfn.XLOOKUP(D123,products!$A$1:$A$49,products!$E$1:$E$49,,0)</f>
        <v>13.75</v>
      </c>
      <c r="M123" s="9">
        <f t="shared" si="1"/>
        <v>68.75</v>
      </c>
      <c r="N123" s="3" t="str" cm="1">
        <f t="array" ref="N123">_xlfn.SWITCH(I123,
"Rob","Robusta",
"Exc","Excelsa",
"Ara","Arabica",
"Lib","Liberica",
"")</f>
        <v>Excelsa</v>
      </c>
      <c r="O123" t="str" cm="1">
        <f t="array" ref="O123">_xlfn.SWITCH(J123,
"M","Medium",
"L","Light",
"D","Dark",
"")</f>
        <v>Medium</v>
      </c>
      <c r="P123" t="str">
        <f>_xlfn.XLOOKUP(Orders[[#This Row],[Customer ID]],customers!$A$1:$A$1001,customers!$I$1:$I$1001,,0)</f>
        <v>No</v>
      </c>
    </row>
    <row r="124" spans="1:16" x14ac:dyDescent="0.35">
      <c r="A124" s="2" t="s">
        <v>1174</v>
      </c>
      <c r="B124" s="4">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_xlfn.XLOOKUP(D124,products!$A$1:$A$49,products!$B$1:$B$49,,0)</f>
        <v>Ara</v>
      </c>
      <c r="J124" t="str">
        <f>_xlfn.XLOOKUP(D124,products!$A$1:$A$49,products!$C$1:$C$49,,0)</f>
        <v>D</v>
      </c>
      <c r="K124" s="7">
        <f>_xlfn.XLOOKUP(D124,products!$A$1:$A$49,products!$D$1:$D$49,,0)</f>
        <v>0.5</v>
      </c>
      <c r="L124" s="9">
        <f>_xlfn.XLOOKUP(D124,products!$A$1:$A$49,products!$E$1:$E$49,,0)</f>
        <v>5.97</v>
      </c>
      <c r="M124" s="9">
        <f t="shared" si="1"/>
        <v>23.88</v>
      </c>
      <c r="N124" s="3" t="str" cm="1">
        <f t="array" ref="N124">_xlfn.SWITCH(I124,
"Rob","Robusta",
"Exc","Excelsa",
"Ara","Arabica",
"Lib","Liberica",
"")</f>
        <v>Arabica</v>
      </c>
      <c r="O124" t="str" cm="1">
        <f t="array" ref="O124">_xlfn.SWITCH(J124,
"M","Medium",
"L","Light",
"D","Dark",
"")</f>
        <v>Dark</v>
      </c>
      <c r="P124" t="str">
        <f>_xlfn.XLOOKUP(Orders[[#This Row],[Customer ID]],customers!$A$1:$A$1001,customers!$I$1:$I$1001,,0)</f>
        <v>Yes</v>
      </c>
    </row>
    <row r="125" spans="1:16" x14ac:dyDescent="0.35">
      <c r="A125" s="2" t="s">
        <v>1180</v>
      </c>
      <c r="B125" s="4">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_xlfn.XLOOKUP(D125,products!$A$1:$A$49,products!$B$1:$B$49,,0)</f>
        <v>Lib</v>
      </c>
      <c r="J125" t="str">
        <f>_xlfn.XLOOKUP(D125,products!$A$1:$A$49,products!$C$1:$C$49,,0)</f>
        <v>L</v>
      </c>
      <c r="K125" s="7">
        <f>_xlfn.XLOOKUP(D125,products!$A$1:$A$49,products!$D$1:$D$49,,0)</f>
        <v>2.5</v>
      </c>
      <c r="L125" s="9">
        <f>_xlfn.XLOOKUP(D125,products!$A$1:$A$49,products!$E$1:$E$49,,0)</f>
        <v>36.454999999999998</v>
      </c>
      <c r="M125" s="9">
        <f t="shared" si="1"/>
        <v>145.82</v>
      </c>
      <c r="N125" s="3" t="str" cm="1">
        <f t="array" ref="N125">_xlfn.SWITCH(I125,
"Rob","Robusta",
"Exc","Excelsa",
"Ara","Arabica",
"Lib","Liberica",
"")</f>
        <v>Liberica</v>
      </c>
      <c r="O125" t="str" cm="1">
        <f t="array" ref="O125">_xlfn.SWITCH(J125,
"M","Medium",
"L","Light",
"D","Dark",
"")</f>
        <v>Light</v>
      </c>
      <c r="P125" t="str">
        <f>_xlfn.XLOOKUP(Orders[[#This Row],[Customer ID]],customers!$A$1:$A$1001,customers!$I$1:$I$1001,,0)</f>
        <v>No</v>
      </c>
    </row>
    <row r="126" spans="1:16" x14ac:dyDescent="0.35">
      <c r="A126" s="2" t="s">
        <v>1186</v>
      </c>
      <c r="B126" s="4">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_xlfn.XLOOKUP(D126,products!$A$1:$A$49,products!$B$1:$B$49,,0)</f>
        <v>Lib</v>
      </c>
      <c r="J126" t="str">
        <f>_xlfn.XLOOKUP(D126,products!$A$1:$A$49,products!$C$1:$C$49,,0)</f>
        <v>M</v>
      </c>
      <c r="K126" s="7">
        <f>_xlfn.XLOOKUP(D126,products!$A$1:$A$49,products!$D$1:$D$49,,0)</f>
        <v>0.2</v>
      </c>
      <c r="L126" s="9">
        <f>_xlfn.XLOOKUP(D126,products!$A$1:$A$49,products!$E$1:$E$49,,0)</f>
        <v>4.3650000000000002</v>
      </c>
      <c r="M126" s="9">
        <f t="shared" si="1"/>
        <v>21.825000000000003</v>
      </c>
      <c r="N126" s="3" t="str" cm="1">
        <f t="array" ref="N126">_xlfn.SWITCH(I126,
"Rob","Robusta",
"Exc","Excelsa",
"Ara","Arabica",
"Lib","Liberica",
"")</f>
        <v>Liberica</v>
      </c>
      <c r="O126" t="str" cm="1">
        <f t="array" ref="O126">_xlfn.SWITCH(J126,
"M","Medium",
"L","Light",
"D","Dark",
"")</f>
        <v>Medium</v>
      </c>
      <c r="P126" t="str">
        <f>_xlfn.XLOOKUP(Orders[[#This Row],[Customer ID]],customers!$A$1:$A$1001,customers!$I$1:$I$1001,,0)</f>
        <v>Yes</v>
      </c>
    </row>
    <row r="127" spans="1:16" x14ac:dyDescent="0.35">
      <c r="A127" s="2" t="s">
        <v>1192</v>
      </c>
      <c r="B127" s="4">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_xlfn.XLOOKUP(D127,products!$A$1:$A$49,products!$B$1:$B$49,,0)</f>
        <v>Lib</v>
      </c>
      <c r="J127" t="str">
        <f>_xlfn.XLOOKUP(D127,products!$A$1:$A$49,products!$C$1:$C$49,,0)</f>
        <v>M</v>
      </c>
      <c r="K127" s="7">
        <f>_xlfn.XLOOKUP(D127,products!$A$1:$A$49,products!$D$1:$D$49,,0)</f>
        <v>0.5</v>
      </c>
      <c r="L127" s="9">
        <f>_xlfn.XLOOKUP(D127,products!$A$1:$A$49,products!$E$1:$E$49,,0)</f>
        <v>8.73</v>
      </c>
      <c r="M127" s="9">
        <f t="shared" si="1"/>
        <v>26.19</v>
      </c>
      <c r="N127" s="3" t="str" cm="1">
        <f t="array" ref="N127">_xlfn.SWITCH(I127,
"Rob","Robusta",
"Exc","Excelsa",
"Ara","Arabica",
"Lib","Liberica",
"")</f>
        <v>Liberica</v>
      </c>
      <c r="O127" t="str" cm="1">
        <f t="array" ref="O127">_xlfn.SWITCH(J127,
"M","Medium",
"L","Light",
"D","Dark",
"")</f>
        <v>Medium</v>
      </c>
      <c r="P127" t="str">
        <f>_xlfn.XLOOKUP(Orders[[#This Row],[Customer ID]],customers!$A$1:$A$1001,customers!$I$1:$I$1001,,0)</f>
        <v>Yes</v>
      </c>
    </row>
    <row r="128" spans="1:16" x14ac:dyDescent="0.35">
      <c r="A128" s="2" t="s">
        <v>1198</v>
      </c>
      <c r="B128" s="4">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_xlfn.XLOOKUP(D128,products!$A$1:$A$49,products!$B$1:$B$49,,0)</f>
        <v>Ara</v>
      </c>
      <c r="J128" t="str">
        <f>_xlfn.XLOOKUP(D128,products!$A$1:$A$49,products!$C$1:$C$49,,0)</f>
        <v>M</v>
      </c>
      <c r="K128" s="7">
        <f>_xlfn.XLOOKUP(D128,products!$A$1:$A$49,products!$D$1:$D$49,,0)</f>
        <v>1</v>
      </c>
      <c r="L128" s="9">
        <f>_xlfn.XLOOKUP(D128,products!$A$1:$A$49,products!$E$1:$E$49,,0)</f>
        <v>11.25</v>
      </c>
      <c r="M128" s="9">
        <f t="shared" si="1"/>
        <v>11.25</v>
      </c>
      <c r="N128" s="3" t="str" cm="1">
        <f t="array" ref="N128">_xlfn.SWITCH(I128,
"Rob","Robusta",
"Exc","Excelsa",
"Ara","Arabica",
"Lib","Liberica",
"")</f>
        <v>Arabica</v>
      </c>
      <c r="O128" t="str" cm="1">
        <f t="array" ref="O128">_xlfn.SWITCH(J128,
"M","Medium",
"L","Light",
"D","Dark",
"")</f>
        <v>Medium</v>
      </c>
      <c r="P128" t="str">
        <f>_xlfn.XLOOKUP(Orders[[#This Row],[Customer ID]],customers!$A$1:$A$1001,customers!$I$1:$I$1001,,0)</f>
        <v>No</v>
      </c>
    </row>
    <row r="129" spans="1:16" x14ac:dyDescent="0.35">
      <c r="A129" s="2" t="s">
        <v>1204</v>
      </c>
      <c r="B129" s="4">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_xlfn.XLOOKUP(D129,products!$A$1:$A$49,products!$B$1:$B$49,,0)</f>
        <v>Lib</v>
      </c>
      <c r="J129" t="str">
        <f>_xlfn.XLOOKUP(D129,products!$A$1:$A$49,products!$C$1:$C$49,,0)</f>
        <v>D</v>
      </c>
      <c r="K129" s="7">
        <f>_xlfn.XLOOKUP(D129,products!$A$1:$A$49,products!$D$1:$D$49,,0)</f>
        <v>1</v>
      </c>
      <c r="L129" s="9">
        <f>_xlfn.XLOOKUP(D129,products!$A$1:$A$49,products!$E$1:$E$49,,0)</f>
        <v>12.95</v>
      </c>
      <c r="M129" s="9">
        <f t="shared" si="1"/>
        <v>77.699999999999989</v>
      </c>
      <c r="N129" s="3" t="str" cm="1">
        <f t="array" ref="N129">_xlfn.SWITCH(I129,
"Rob","Robusta",
"Exc","Excelsa",
"Ara","Arabica",
"Lib","Liberica",
"")</f>
        <v>Liberica</v>
      </c>
      <c r="O129" t="str" cm="1">
        <f t="array" ref="O129">_xlfn.SWITCH(J129,
"M","Medium",
"L","Light",
"D","Dark",
"")</f>
        <v>Dark</v>
      </c>
      <c r="P129" t="str">
        <f>_xlfn.XLOOKUP(Orders[[#This Row],[Customer ID]],customers!$A$1:$A$1001,customers!$I$1:$I$1001,,0)</f>
        <v>No</v>
      </c>
    </row>
    <row r="130" spans="1:16" x14ac:dyDescent="0.35">
      <c r="A130" s="2" t="s">
        <v>1210</v>
      </c>
      <c r="B130" s="4">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_xlfn.XLOOKUP(D130,products!$A$1:$A$49,products!$B$1:$B$49,,0)</f>
        <v>Ara</v>
      </c>
      <c r="J130" t="str">
        <f>_xlfn.XLOOKUP(D130,products!$A$1:$A$49,products!$C$1:$C$49,,0)</f>
        <v>M</v>
      </c>
      <c r="K130" s="7">
        <f>_xlfn.XLOOKUP(D130,products!$A$1:$A$49,products!$D$1:$D$49,,0)</f>
        <v>0.5</v>
      </c>
      <c r="L130" s="9">
        <f>_xlfn.XLOOKUP(D130,products!$A$1:$A$49,products!$E$1:$E$49,,0)</f>
        <v>6.75</v>
      </c>
      <c r="M130" s="9">
        <f t="shared" si="1"/>
        <v>6.75</v>
      </c>
      <c r="N130" s="3" t="str" cm="1">
        <f t="array" ref="N130">_xlfn.SWITCH(I130,
"Rob","Robusta",
"Exc","Excelsa",
"Ara","Arabica",
"Lib","Liberica",
"")</f>
        <v>Arabica</v>
      </c>
      <c r="O130" t="str" cm="1">
        <f t="array" ref="O130">_xlfn.SWITCH(J130,
"M","Medium",
"L","Light",
"D","Dark",
"")</f>
        <v>Medium</v>
      </c>
      <c r="P130" t="str">
        <f>_xlfn.XLOOKUP(Orders[[#This Row],[Customer ID]],customers!$A$1:$A$1001,customers!$I$1:$I$1001,,0)</f>
        <v>No</v>
      </c>
    </row>
    <row r="131" spans="1:16" x14ac:dyDescent="0.35">
      <c r="A131" s="2" t="s">
        <v>1216</v>
      </c>
      <c r="B131" s="4">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_xlfn.XLOOKUP(D131,products!$A$1:$A$49,products!$B$1:$B$49,,0)</f>
        <v>Exc</v>
      </c>
      <c r="J131" t="str">
        <f>_xlfn.XLOOKUP(D131,products!$A$1:$A$49,products!$C$1:$C$49,,0)</f>
        <v>D</v>
      </c>
      <c r="K131" s="7">
        <f>_xlfn.XLOOKUP(D131,products!$A$1:$A$49,products!$D$1:$D$49,,0)</f>
        <v>1</v>
      </c>
      <c r="L131" s="9">
        <f>_xlfn.XLOOKUP(D131,products!$A$1:$A$49,products!$E$1:$E$49,,0)</f>
        <v>12.15</v>
      </c>
      <c r="M131" s="9">
        <f t="shared" ref="M131:M194" si="2">L131*E131</f>
        <v>12.15</v>
      </c>
      <c r="N131" s="3" t="str" cm="1">
        <f t="array" ref="N131">_xlfn.SWITCH(I131,
"Rob","Robusta",
"Exc","Excelsa",
"Ara","Arabica",
"Lib","Liberica",
"")</f>
        <v>Excelsa</v>
      </c>
      <c r="O131" t="str" cm="1">
        <f t="array" ref="O131">_xlfn.SWITCH(J131,
"M","Medium",
"L","Light",
"D","Dark",
"")</f>
        <v>Dark</v>
      </c>
      <c r="P131" t="str">
        <f>_xlfn.XLOOKUP(Orders[[#This Row],[Customer ID]],customers!$A$1:$A$1001,customers!$I$1:$I$1001,,0)</f>
        <v>Yes</v>
      </c>
    </row>
    <row r="132" spans="1:16" x14ac:dyDescent="0.35">
      <c r="A132" s="2" t="s">
        <v>1222</v>
      </c>
      <c r="B132" s="4">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_xlfn.XLOOKUP(D132,products!$A$1:$A$49,products!$B$1:$B$49,,0)</f>
        <v>Ara</v>
      </c>
      <c r="J132" t="str">
        <f>_xlfn.XLOOKUP(D132,products!$A$1:$A$49,products!$C$1:$C$49,,0)</f>
        <v>L</v>
      </c>
      <c r="K132" s="7">
        <f>_xlfn.XLOOKUP(D132,products!$A$1:$A$49,products!$D$1:$D$49,,0)</f>
        <v>2.5</v>
      </c>
      <c r="L132" s="9">
        <f>_xlfn.XLOOKUP(D132,products!$A$1:$A$49,products!$E$1:$E$49,,0)</f>
        <v>29.784999999999997</v>
      </c>
      <c r="M132" s="9">
        <f t="shared" si="2"/>
        <v>148.92499999999998</v>
      </c>
      <c r="N132" s="3" t="str" cm="1">
        <f t="array" ref="N132">_xlfn.SWITCH(I132,
"Rob","Robusta",
"Exc","Excelsa",
"Ara","Arabica",
"Lib","Liberica",
"")</f>
        <v>Arabica</v>
      </c>
      <c r="O132" t="str" cm="1">
        <f t="array" ref="O132">_xlfn.SWITCH(J132,
"M","Medium",
"L","Light",
"D","Dark",
"")</f>
        <v>Light</v>
      </c>
      <c r="P132" t="str">
        <f>_xlfn.XLOOKUP(Orders[[#This Row],[Customer ID]],customers!$A$1:$A$1001,customers!$I$1:$I$1001,,0)</f>
        <v>Yes</v>
      </c>
    </row>
    <row r="133" spans="1:16" x14ac:dyDescent="0.35">
      <c r="A133" s="2" t="s">
        <v>1227</v>
      </c>
      <c r="B133" s="4">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_xlfn.XLOOKUP(D133,products!$A$1:$A$49,products!$B$1:$B$49,,0)</f>
        <v>Exc</v>
      </c>
      <c r="J133" t="str">
        <f>_xlfn.XLOOKUP(D133,products!$A$1:$A$49,products!$C$1:$C$49,,0)</f>
        <v>D</v>
      </c>
      <c r="K133" s="7">
        <f>_xlfn.XLOOKUP(D133,products!$A$1:$A$49,products!$D$1:$D$49,,0)</f>
        <v>0.5</v>
      </c>
      <c r="L133" s="9">
        <f>_xlfn.XLOOKUP(D133,products!$A$1:$A$49,products!$E$1:$E$49,,0)</f>
        <v>7.29</v>
      </c>
      <c r="M133" s="9">
        <f t="shared" si="2"/>
        <v>14.58</v>
      </c>
      <c r="N133" s="3" t="str" cm="1">
        <f t="array" ref="N133">_xlfn.SWITCH(I133,
"Rob","Robusta",
"Exc","Excelsa",
"Ara","Arabica",
"Lib","Liberica",
"")</f>
        <v>Excelsa</v>
      </c>
      <c r="O133" t="str" cm="1">
        <f t="array" ref="O133">_xlfn.SWITCH(J133,
"M","Medium",
"L","Light",
"D","Dark",
"")</f>
        <v>Dark</v>
      </c>
      <c r="P133" t="str">
        <f>_xlfn.XLOOKUP(Orders[[#This Row],[Customer ID]],customers!$A$1:$A$1001,customers!$I$1:$I$1001,,0)</f>
        <v>Yes</v>
      </c>
    </row>
    <row r="134" spans="1:16" x14ac:dyDescent="0.35">
      <c r="A134" s="2" t="s">
        <v>1233</v>
      </c>
      <c r="B134" s="4">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_xlfn.XLOOKUP(D134,products!$A$1:$A$49,products!$B$1:$B$49,,0)</f>
        <v>Ara</v>
      </c>
      <c r="J134" t="str">
        <f>_xlfn.XLOOKUP(D134,products!$A$1:$A$49,products!$C$1:$C$49,,0)</f>
        <v>L</v>
      </c>
      <c r="K134" s="7">
        <f>_xlfn.XLOOKUP(D134,products!$A$1:$A$49,products!$D$1:$D$49,,0)</f>
        <v>2.5</v>
      </c>
      <c r="L134" s="9">
        <f>_xlfn.XLOOKUP(D134,products!$A$1:$A$49,products!$E$1:$E$49,,0)</f>
        <v>29.784999999999997</v>
      </c>
      <c r="M134" s="9">
        <f t="shared" si="2"/>
        <v>148.92499999999998</v>
      </c>
      <c r="N134" s="3" t="str" cm="1">
        <f t="array" ref="N134">_xlfn.SWITCH(I134,
"Rob","Robusta",
"Exc","Excelsa",
"Ara","Arabica",
"Lib","Liberica",
"")</f>
        <v>Arabica</v>
      </c>
      <c r="O134" t="str" cm="1">
        <f t="array" ref="O134">_xlfn.SWITCH(J134,
"M","Medium",
"L","Light",
"D","Dark",
"")</f>
        <v>Light</v>
      </c>
      <c r="P134" t="str">
        <f>_xlfn.XLOOKUP(Orders[[#This Row],[Customer ID]],customers!$A$1:$A$1001,customers!$I$1:$I$1001,,0)</f>
        <v>Yes</v>
      </c>
    </row>
    <row r="135" spans="1:16" x14ac:dyDescent="0.35">
      <c r="A135" s="2" t="s">
        <v>1239</v>
      </c>
      <c r="B135" s="4">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_xlfn.XLOOKUP(D135,products!$A$1:$A$49,products!$B$1:$B$49,,0)</f>
        <v>Lib</v>
      </c>
      <c r="J135" t="str">
        <f>_xlfn.XLOOKUP(D135,products!$A$1:$A$49,products!$C$1:$C$49,,0)</f>
        <v>D</v>
      </c>
      <c r="K135" s="7">
        <f>_xlfn.XLOOKUP(D135,products!$A$1:$A$49,products!$D$1:$D$49,,0)</f>
        <v>1</v>
      </c>
      <c r="L135" s="9">
        <f>_xlfn.XLOOKUP(D135,products!$A$1:$A$49,products!$E$1:$E$49,,0)</f>
        <v>12.95</v>
      </c>
      <c r="M135" s="9">
        <f t="shared" si="2"/>
        <v>12.95</v>
      </c>
      <c r="N135" s="3" t="str" cm="1">
        <f t="array" ref="N135">_xlfn.SWITCH(I135,
"Rob","Robusta",
"Exc","Excelsa",
"Ara","Arabica",
"Lib","Liberica",
"")</f>
        <v>Liberica</v>
      </c>
      <c r="O135" t="str" cm="1">
        <f t="array" ref="O135">_xlfn.SWITCH(J135,
"M","Medium",
"L","Light",
"D","Dark",
"")</f>
        <v>Dark</v>
      </c>
      <c r="P135" t="str">
        <f>_xlfn.XLOOKUP(Orders[[#This Row],[Customer ID]],customers!$A$1:$A$1001,customers!$I$1:$I$1001,,0)</f>
        <v>No</v>
      </c>
    </row>
    <row r="136" spans="1:16" x14ac:dyDescent="0.35">
      <c r="A136" s="2" t="s">
        <v>1245</v>
      </c>
      <c r="B136" s="4">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_xlfn.XLOOKUP(D136,products!$A$1:$A$49,products!$B$1:$B$49,,0)</f>
        <v>Exc</v>
      </c>
      <c r="J136" t="str">
        <f>_xlfn.XLOOKUP(D136,products!$A$1:$A$49,products!$C$1:$C$49,,0)</f>
        <v>M</v>
      </c>
      <c r="K136" s="7">
        <f>_xlfn.XLOOKUP(D136,products!$A$1:$A$49,products!$D$1:$D$49,,0)</f>
        <v>2.5</v>
      </c>
      <c r="L136" s="9">
        <f>_xlfn.XLOOKUP(D136,products!$A$1:$A$49,products!$E$1:$E$49,,0)</f>
        <v>31.624999999999996</v>
      </c>
      <c r="M136" s="9">
        <f t="shared" si="2"/>
        <v>94.874999999999986</v>
      </c>
      <c r="N136" s="3" t="str" cm="1">
        <f t="array" ref="N136">_xlfn.SWITCH(I136,
"Rob","Robusta",
"Exc","Excelsa",
"Ara","Arabica",
"Lib","Liberica",
"")</f>
        <v>Excelsa</v>
      </c>
      <c r="O136" t="str" cm="1">
        <f t="array" ref="O136">_xlfn.SWITCH(J136,
"M","Medium",
"L","Light",
"D","Dark",
"")</f>
        <v>Medium</v>
      </c>
      <c r="P136" t="str">
        <f>_xlfn.XLOOKUP(Orders[[#This Row],[Customer ID]],customers!$A$1:$A$1001,customers!$I$1:$I$1001,,0)</f>
        <v>Yes</v>
      </c>
    </row>
    <row r="137" spans="1:16" x14ac:dyDescent="0.35">
      <c r="A137" s="2" t="s">
        <v>1249</v>
      </c>
      <c r="B137" s="4">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_xlfn.XLOOKUP(D137,products!$A$1:$A$49,products!$B$1:$B$49,,0)</f>
        <v>Ara</v>
      </c>
      <c r="J137" t="str">
        <f>_xlfn.XLOOKUP(D137,products!$A$1:$A$49,products!$C$1:$C$49,,0)</f>
        <v>L</v>
      </c>
      <c r="K137" s="7">
        <f>_xlfn.XLOOKUP(D137,products!$A$1:$A$49,products!$D$1:$D$49,,0)</f>
        <v>0.5</v>
      </c>
      <c r="L137" s="9">
        <f>_xlfn.XLOOKUP(D137,products!$A$1:$A$49,products!$E$1:$E$49,,0)</f>
        <v>7.77</v>
      </c>
      <c r="M137" s="9">
        <f t="shared" si="2"/>
        <v>38.849999999999994</v>
      </c>
      <c r="N137" s="3" t="str" cm="1">
        <f t="array" ref="N137">_xlfn.SWITCH(I137,
"Rob","Robusta",
"Exc","Excelsa",
"Ara","Arabica",
"Lib","Liberica",
"")</f>
        <v>Arabica</v>
      </c>
      <c r="O137" t="str" cm="1">
        <f t="array" ref="O137">_xlfn.SWITCH(J137,
"M","Medium",
"L","Light",
"D","Dark",
"")</f>
        <v>Light</v>
      </c>
      <c r="P137" t="str">
        <f>_xlfn.XLOOKUP(Orders[[#This Row],[Customer ID]],customers!$A$1:$A$1001,customers!$I$1:$I$1001,,0)</f>
        <v>Yes</v>
      </c>
    </row>
    <row r="138" spans="1:16" x14ac:dyDescent="0.35">
      <c r="A138" s="2" t="s">
        <v>1255</v>
      </c>
      <c r="B138" s="4">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_xlfn.XLOOKUP(D138,products!$A$1:$A$49,products!$B$1:$B$49,,0)</f>
        <v>Ara</v>
      </c>
      <c r="J138" t="str">
        <f>_xlfn.XLOOKUP(D138,products!$A$1:$A$49,products!$C$1:$C$49,,0)</f>
        <v>D</v>
      </c>
      <c r="K138" s="7">
        <f>_xlfn.XLOOKUP(D138,products!$A$1:$A$49,products!$D$1:$D$49,,0)</f>
        <v>0.2</v>
      </c>
      <c r="L138" s="9">
        <f>_xlfn.XLOOKUP(D138,products!$A$1:$A$49,products!$E$1:$E$49,,0)</f>
        <v>2.9849999999999999</v>
      </c>
      <c r="M138" s="9">
        <f t="shared" si="2"/>
        <v>11.94</v>
      </c>
      <c r="N138" s="3" t="str" cm="1">
        <f t="array" ref="N138">_xlfn.SWITCH(I138,
"Rob","Robusta",
"Exc","Excelsa",
"Ara","Arabica",
"Lib","Liberica",
"")</f>
        <v>Arabica</v>
      </c>
      <c r="O138" t="str" cm="1">
        <f t="array" ref="O138">_xlfn.SWITCH(J138,
"M","Medium",
"L","Light",
"D","Dark",
"")</f>
        <v>Dark</v>
      </c>
      <c r="P138" t="str">
        <f>_xlfn.XLOOKUP(Orders[[#This Row],[Customer ID]],customers!$A$1:$A$1001,customers!$I$1:$I$1001,,0)</f>
        <v>No</v>
      </c>
    </row>
    <row r="139" spans="1:16" x14ac:dyDescent="0.35">
      <c r="A139" s="2" t="s">
        <v>1261</v>
      </c>
      <c r="B139" s="4">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_xlfn.XLOOKUP(D139,products!$A$1:$A$49,products!$B$1:$B$49,,0)</f>
        <v>Exc</v>
      </c>
      <c r="J139" t="str">
        <f>_xlfn.XLOOKUP(D139,products!$A$1:$A$49,products!$C$1:$C$49,,0)</f>
        <v>L</v>
      </c>
      <c r="K139" s="7">
        <f>_xlfn.XLOOKUP(D139,products!$A$1:$A$49,products!$D$1:$D$49,,0)</f>
        <v>2.5</v>
      </c>
      <c r="L139" s="9">
        <f>_xlfn.XLOOKUP(D139,products!$A$1:$A$49,products!$E$1:$E$49,,0)</f>
        <v>34.154999999999994</v>
      </c>
      <c r="M139" s="9">
        <f t="shared" si="2"/>
        <v>102.46499999999997</v>
      </c>
      <c r="N139" s="3" t="str" cm="1">
        <f t="array" ref="N139">_xlfn.SWITCH(I139,
"Rob","Robusta",
"Exc","Excelsa",
"Ara","Arabica",
"Lib","Liberica",
"")</f>
        <v>Excelsa</v>
      </c>
      <c r="O139" t="str" cm="1">
        <f t="array" ref="O139">_xlfn.SWITCH(J139,
"M","Medium",
"L","Light",
"D","Dark",
"")</f>
        <v>Light</v>
      </c>
      <c r="P139" t="str">
        <f>_xlfn.XLOOKUP(Orders[[#This Row],[Customer ID]],customers!$A$1:$A$1001,customers!$I$1:$I$1001,,0)</f>
        <v>No</v>
      </c>
    </row>
    <row r="140" spans="1:16" x14ac:dyDescent="0.35">
      <c r="A140" s="2" t="s">
        <v>1266</v>
      </c>
      <c r="B140" s="4">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_xlfn.XLOOKUP(D140,products!$A$1:$A$49,products!$B$1:$B$49,,0)</f>
        <v>Exc</v>
      </c>
      <c r="J140" t="str">
        <f>_xlfn.XLOOKUP(D140,products!$A$1:$A$49,products!$C$1:$C$49,,0)</f>
        <v>D</v>
      </c>
      <c r="K140" s="7">
        <f>_xlfn.XLOOKUP(D140,products!$A$1:$A$49,products!$D$1:$D$49,,0)</f>
        <v>1</v>
      </c>
      <c r="L140" s="9">
        <f>_xlfn.XLOOKUP(D140,products!$A$1:$A$49,products!$E$1:$E$49,,0)</f>
        <v>12.15</v>
      </c>
      <c r="M140" s="9">
        <f t="shared" si="2"/>
        <v>48.6</v>
      </c>
      <c r="N140" s="3" t="str" cm="1">
        <f t="array" ref="N140">_xlfn.SWITCH(I140,
"Rob","Robusta",
"Exc","Excelsa",
"Ara","Arabica",
"Lib","Liberica",
"")</f>
        <v>Excelsa</v>
      </c>
      <c r="O140" t="str" cm="1">
        <f t="array" ref="O140">_xlfn.SWITCH(J140,
"M","Medium",
"L","Light",
"D","Dark",
"")</f>
        <v>Dark</v>
      </c>
      <c r="P140" t="str">
        <f>_xlfn.XLOOKUP(Orders[[#This Row],[Customer ID]],customers!$A$1:$A$1001,customers!$I$1:$I$1001,,0)</f>
        <v>No</v>
      </c>
    </row>
    <row r="141" spans="1:16" x14ac:dyDescent="0.35">
      <c r="A141" s="2" t="s">
        <v>1271</v>
      </c>
      <c r="B141" s="4">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_xlfn.XLOOKUP(D141,products!$A$1:$A$49,products!$B$1:$B$49,,0)</f>
        <v>Lib</v>
      </c>
      <c r="J141" t="str">
        <f>_xlfn.XLOOKUP(D141,products!$A$1:$A$49,products!$C$1:$C$49,,0)</f>
        <v>D</v>
      </c>
      <c r="K141" s="7">
        <f>_xlfn.XLOOKUP(D141,products!$A$1:$A$49,products!$D$1:$D$49,,0)</f>
        <v>1</v>
      </c>
      <c r="L141" s="9">
        <f>_xlfn.XLOOKUP(D141,products!$A$1:$A$49,products!$E$1:$E$49,,0)</f>
        <v>12.95</v>
      </c>
      <c r="M141" s="9">
        <f t="shared" si="2"/>
        <v>77.699999999999989</v>
      </c>
      <c r="N141" s="3" t="str" cm="1">
        <f t="array" ref="N141">_xlfn.SWITCH(I141,
"Rob","Robusta",
"Exc","Excelsa",
"Ara","Arabica",
"Lib","Liberica",
"")</f>
        <v>Liberica</v>
      </c>
      <c r="O141" t="str" cm="1">
        <f t="array" ref="O141">_xlfn.SWITCH(J141,
"M","Medium",
"L","Light",
"D","Dark",
"")</f>
        <v>Dark</v>
      </c>
      <c r="P141" t="str">
        <f>_xlfn.XLOOKUP(Orders[[#This Row],[Customer ID]],customers!$A$1:$A$1001,customers!$I$1:$I$1001,,0)</f>
        <v>Yes</v>
      </c>
    </row>
    <row r="142" spans="1:16" x14ac:dyDescent="0.35">
      <c r="A142" s="2" t="s">
        <v>1276</v>
      </c>
      <c r="B142" s="4">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_xlfn.XLOOKUP(D142,products!$A$1:$A$49,products!$B$1:$B$49,,0)</f>
        <v>Lib</v>
      </c>
      <c r="J142" t="str">
        <f>_xlfn.XLOOKUP(D142,products!$A$1:$A$49,products!$C$1:$C$49,,0)</f>
        <v>D</v>
      </c>
      <c r="K142" s="7">
        <f>_xlfn.XLOOKUP(D142,products!$A$1:$A$49,products!$D$1:$D$49,,0)</f>
        <v>2.5</v>
      </c>
      <c r="L142" s="9">
        <f>_xlfn.XLOOKUP(D142,products!$A$1:$A$49,products!$E$1:$E$49,,0)</f>
        <v>29.784999999999997</v>
      </c>
      <c r="M142" s="9">
        <f t="shared" si="2"/>
        <v>29.784999999999997</v>
      </c>
      <c r="N142" s="3" t="str" cm="1">
        <f t="array" ref="N142">_xlfn.SWITCH(I142,
"Rob","Robusta",
"Exc","Excelsa",
"Ara","Arabica",
"Lib","Liberica",
"")</f>
        <v>Liberica</v>
      </c>
      <c r="O142" t="str" cm="1">
        <f t="array" ref="O142">_xlfn.SWITCH(J142,
"M","Medium",
"L","Light",
"D","Dark",
"")</f>
        <v>Dark</v>
      </c>
      <c r="P142" t="str">
        <f>_xlfn.XLOOKUP(Orders[[#This Row],[Customer ID]],customers!$A$1:$A$1001,customers!$I$1:$I$1001,,0)</f>
        <v>Yes</v>
      </c>
    </row>
    <row r="143" spans="1:16" x14ac:dyDescent="0.35">
      <c r="A143" s="2" t="s">
        <v>1283</v>
      </c>
      <c r="B143" s="4">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_xlfn.XLOOKUP(D143,products!$A$1:$A$49,products!$B$1:$B$49,,0)</f>
        <v>Ara</v>
      </c>
      <c r="J143" t="str">
        <f>_xlfn.XLOOKUP(D143,products!$A$1:$A$49,products!$C$1:$C$49,,0)</f>
        <v>L</v>
      </c>
      <c r="K143" s="7">
        <f>_xlfn.XLOOKUP(D143,products!$A$1:$A$49,products!$D$1:$D$49,,0)</f>
        <v>0.2</v>
      </c>
      <c r="L143" s="9">
        <f>_xlfn.XLOOKUP(D143,products!$A$1:$A$49,products!$E$1:$E$49,,0)</f>
        <v>3.8849999999999998</v>
      </c>
      <c r="M143" s="9">
        <f t="shared" si="2"/>
        <v>15.54</v>
      </c>
      <c r="N143" s="3" t="str" cm="1">
        <f t="array" ref="N143">_xlfn.SWITCH(I143,
"Rob","Robusta",
"Exc","Excelsa",
"Ara","Arabica",
"Lib","Liberica",
"")</f>
        <v>Arabica</v>
      </c>
      <c r="O143" t="str" cm="1">
        <f t="array" ref="O143">_xlfn.SWITCH(J143,
"M","Medium",
"L","Light",
"D","Dark",
"")</f>
        <v>Light</v>
      </c>
      <c r="P143" t="str">
        <f>_xlfn.XLOOKUP(Orders[[#This Row],[Customer ID]],customers!$A$1:$A$1001,customers!$I$1:$I$1001,,0)</f>
        <v>Yes</v>
      </c>
    </row>
    <row r="144" spans="1:16" x14ac:dyDescent="0.35">
      <c r="A144" s="2" t="s">
        <v>1289</v>
      </c>
      <c r="B144" s="4">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_xlfn.XLOOKUP(D144,products!$A$1:$A$49,products!$B$1:$B$49,,0)</f>
        <v>Exc</v>
      </c>
      <c r="J144" t="str">
        <f>_xlfn.XLOOKUP(D144,products!$A$1:$A$49,products!$C$1:$C$49,,0)</f>
        <v>L</v>
      </c>
      <c r="K144" s="7">
        <f>_xlfn.XLOOKUP(D144,products!$A$1:$A$49,products!$D$1:$D$49,,0)</f>
        <v>2.5</v>
      </c>
      <c r="L144" s="9">
        <f>_xlfn.XLOOKUP(D144,products!$A$1:$A$49,products!$E$1:$E$49,,0)</f>
        <v>34.154999999999994</v>
      </c>
      <c r="M144" s="9">
        <f t="shared" si="2"/>
        <v>136.61999999999998</v>
      </c>
      <c r="N144" s="3" t="str" cm="1">
        <f t="array" ref="N144">_xlfn.SWITCH(I144,
"Rob","Robusta",
"Exc","Excelsa",
"Ara","Arabica",
"Lib","Liberica",
"")</f>
        <v>Excelsa</v>
      </c>
      <c r="O144" t="str" cm="1">
        <f t="array" ref="O144">_xlfn.SWITCH(J144,
"M","Medium",
"L","Light",
"D","Dark",
"")</f>
        <v>Light</v>
      </c>
      <c r="P144" t="str">
        <f>_xlfn.XLOOKUP(Orders[[#This Row],[Customer ID]],customers!$A$1:$A$1001,customers!$I$1:$I$1001,,0)</f>
        <v>Yes</v>
      </c>
    </row>
    <row r="145" spans="1:16" x14ac:dyDescent="0.35">
      <c r="A145" s="2" t="s">
        <v>1293</v>
      </c>
      <c r="B145" s="4">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_xlfn.XLOOKUP(D145,products!$A$1:$A$49,products!$B$1:$B$49,,0)</f>
        <v>Lib</v>
      </c>
      <c r="J145" t="str">
        <f>_xlfn.XLOOKUP(D145,products!$A$1:$A$49,products!$C$1:$C$49,,0)</f>
        <v>M</v>
      </c>
      <c r="K145" s="7">
        <f>_xlfn.XLOOKUP(D145,products!$A$1:$A$49,products!$D$1:$D$49,,0)</f>
        <v>0.5</v>
      </c>
      <c r="L145" s="9">
        <f>_xlfn.XLOOKUP(D145,products!$A$1:$A$49,products!$E$1:$E$49,,0)</f>
        <v>8.73</v>
      </c>
      <c r="M145" s="9">
        <f t="shared" si="2"/>
        <v>17.46</v>
      </c>
      <c r="N145" s="3" t="str" cm="1">
        <f t="array" ref="N145">_xlfn.SWITCH(I145,
"Rob","Robusta",
"Exc","Excelsa",
"Ara","Arabica",
"Lib","Liberica",
"")</f>
        <v>Liberica</v>
      </c>
      <c r="O145" t="str" cm="1">
        <f t="array" ref="O145">_xlfn.SWITCH(J145,
"M","Medium",
"L","Light",
"D","Dark",
"")</f>
        <v>Medium</v>
      </c>
      <c r="P145" t="str">
        <f>_xlfn.XLOOKUP(Orders[[#This Row],[Customer ID]],customers!$A$1:$A$1001,customers!$I$1:$I$1001,,0)</f>
        <v>No</v>
      </c>
    </row>
    <row r="146" spans="1:16" x14ac:dyDescent="0.35">
      <c r="A146" s="2" t="s">
        <v>1299</v>
      </c>
      <c r="B146" s="4">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_xlfn.XLOOKUP(D146,products!$A$1:$A$49,products!$B$1:$B$49,,0)</f>
        <v>Exc</v>
      </c>
      <c r="J146" t="str">
        <f>_xlfn.XLOOKUP(D146,products!$A$1:$A$49,products!$C$1:$C$49,,0)</f>
        <v>L</v>
      </c>
      <c r="K146" s="7">
        <f>_xlfn.XLOOKUP(D146,products!$A$1:$A$49,products!$D$1:$D$49,,0)</f>
        <v>2.5</v>
      </c>
      <c r="L146" s="9">
        <f>_xlfn.XLOOKUP(D146,products!$A$1:$A$49,products!$E$1:$E$49,,0)</f>
        <v>34.154999999999994</v>
      </c>
      <c r="M146" s="9">
        <f t="shared" si="2"/>
        <v>68.309999999999988</v>
      </c>
      <c r="N146" s="3" t="str" cm="1">
        <f t="array" ref="N146">_xlfn.SWITCH(I146,
"Rob","Robusta",
"Exc","Excelsa",
"Ara","Arabica",
"Lib","Liberica",
"")</f>
        <v>Excelsa</v>
      </c>
      <c r="O146" t="str" cm="1">
        <f t="array" ref="O146">_xlfn.SWITCH(J146,
"M","Medium",
"L","Light",
"D","Dark",
"")</f>
        <v>Light</v>
      </c>
      <c r="P146" t="str">
        <f>_xlfn.XLOOKUP(Orders[[#This Row],[Customer ID]],customers!$A$1:$A$1001,customers!$I$1:$I$1001,,0)</f>
        <v>Yes</v>
      </c>
    </row>
    <row r="147" spans="1:16" x14ac:dyDescent="0.35">
      <c r="A147" s="2" t="s">
        <v>1305</v>
      </c>
      <c r="B147" s="4">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_xlfn.XLOOKUP(D147,products!$A$1:$A$49,products!$B$1:$B$49,,0)</f>
        <v>Lib</v>
      </c>
      <c r="J147" t="str">
        <f>_xlfn.XLOOKUP(D147,products!$A$1:$A$49,products!$C$1:$C$49,,0)</f>
        <v>M</v>
      </c>
      <c r="K147" s="7">
        <f>_xlfn.XLOOKUP(D147,products!$A$1:$A$49,products!$D$1:$D$49,,0)</f>
        <v>0.2</v>
      </c>
      <c r="L147" s="9">
        <f>_xlfn.XLOOKUP(D147,products!$A$1:$A$49,products!$E$1:$E$49,,0)</f>
        <v>4.3650000000000002</v>
      </c>
      <c r="M147" s="9">
        <f t="shared" si="2"/>
        <v>17.46</v>
      </c>
      <c r="N147" s="3" t="str" cm="1">
        <f t="array" ref="N147">_xlfn.SWITCH(I147,
"Rob","Robusta",
"Exc","Excelsa",
"Ara","Arabica",
"Lib","Liberica",
"")</f>
        <v>Liberica</v>
      </c>
      <c r="O147" t="str" cm="1">
        <f t="array" ref="O147">_xlfn.SWITCH(J147,
"M","Medium",
"L","Light",
"D","Dark",
"")</f>
        <v>Medium</v>
      </c>
      <c r="P147" t="str">
        <f>_xlfn.XLOOKUP(Orders[[#This Row],[Customer ID]],customers!$A$1:$A$1001,customers!$I$1:$I$1001,,0)</f>
        <v>No</v>
      </c>
    </row>
    <row r="148" spans="1:16" x14ac:dyDescent="0.35">
      <c r="A148" s="2" t="s">
        <v>1311</v>
      </c>
      <c r="B148" s="4">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_xlfn.XLOOKUP(D148,products!$A$1:$A$49,products!$B$1:$B$49,,0)</f>
        <v>Lib</v>
      </c>
      <c r="J148" t="str">
        <f>_xlfn.XLOOKUP(D148,products!$A$1:$A$49,products!$C$1:$C$49,,0)</f>
        <v>M</v>
      </c>
      <c r="K148" s="7">
        <f>_xlfn.XLOOKUP(D148,products!$A$1:$A$49,products!$D$1:$D$49,,0)</f>
        <v>1</v>
      </c>
      <c r="L148" s="9">
        <f>_xlfn.XLOOKUP(D148,products!$A$1:$A$49,products!$E$1:$E$49,,0)</f>
        <v>14.55</v>
      </c>
      <c r="M148" s="9">
        <f t="shared" si="2"/>
        <v>43.650000000000006</v>
      </c>
      <c r="N148" s="3" t="str" cm="1">
        <f t="array" ref="N148">_xlfn.SWITCH(I148,
"Rob","Robusta",
"Exc","Excelsa",
"Ara","Arabica",
"Lib","Liberica",
"")</f>
        <v>Liberica</v>
      </c>
      <c r="O148" t="str" cm="1">
        <f t="array" ref="O148">_xlfn.SWITCH(J148,
"M","Medium",
"L","Light",
"D","Dark",
"")</f>
        <v>Medium</v>
      </c>
      <c r="P148" t="str">
        <f>_xlfn.XLOOKUP(Orders[[#This Row],[Customer ID]],customers!$A$1:$A$1001,customers!$I$1:$I$1001,,0)</f>
        <v>No</v>
      </c>
    </row>
    <row r="149" spans="1:16" x14ac:dyDescent="0.35">
      <c r="A149" s="2" t="s">
        <v>1311</v>
      </c>
      <c r="B149" s="4">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_xlfn.XLOOKUP(D149,products!$A$1:$A$49,products!$B$1:$B$49,,0)</f>
        <v>Exc</v>
      </c>
      <c r="J149" t="str">
        <f>_xlfn.XLOOKUP(D149,products!$A$1:$A$49,products!$C$1:$C$49,,0)</f>
        <v>M</v>
      </c>
      <c r="K149" s="7">
        <f>_xlfn.XLOOKUP(D149,products!$A$1:$A$49,products!$D$1:$D$49,,0)</f>
        <v>1</v>
      </c>
      <c r="L149" s="9">
        <f>_xlfn.XLOOKUP(D149,products!$A$1:$A$49,products!$E$1:$E$49,,0)</f>
        <v>13.75</v>
      </c>
      <c r="M149" s="9">
        <f t="shared" si="2"/>
        <v>27.5</v>
      </c>
      <c r="N149" s="3" t="str" cm="1">
        <f t="array" ref="N149">_xlfn.SWITCH(I149,
"Rob","Robusta",
"Exc","Excelsa",
"Ara","Arabica",
"Lib","Liberica",
"")</f>
        <v>Excelsa</v>
      </c>
      <c r="O149" t="str" cm="1">
        <f t="array" ref="O149">_xlfn.SWITCH(J149,
"M","Medium",
"L","Light",
"D","Dark",
"")</f>
        <v>Medium</v>
      </c>
      <c r="P149" t="str">
        <f>_xlfn.XLOOKUP(Orders[[#This Row],[Customer ID]],customers!$A$1:$A$1001,customers!$I$1:$I$1001,,0)</f>
        <v>No</v>
      </c>
    </row>
    <row r="150" spans="1:16" x14ac:dyDescent="0.35">
      <c r="A150" s="2" t="s">
        <v>1322</v>
      </c>
      <c r="B150" s="4">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_xlfn.XLOOKUP(D150,products!$A$1:$A$49,products!$B$1:$B$49,,0)</f>
        <v>Exc</v>
      </c>
      <c r="J150" t="str">
        <f>_xlfn.XLOOKUP(D150,products!$A$1:$A$49,products!$C$1:$C$49,,0)</f>
        <v>D</v>
      </c>
      <c r="K150" s="7">
        <f>_xlfn.XLOOKUP(D150,products!$A$1:$A$49,products!$D$1:$D$49,,0)</f>
        <v>0.2</v>
      </c>
      <c r="L150" s="9">
        <f>_xlfn.XLOOKUP(D150,products!$A$1:$A$49,products!$E$1:$E$49,,0)</f>
        <v>3.645</v>
      </c>
      <c r="M150" s="9">
        <f t="shared" si="2"/>
        <v>18.225000000000001</v>
      </c>
      <c r="N150" s="3" t="str" cm="1">
        <f t="array" ref="N150">_xlfn.SWITCH(I150,
"Rob","Robusta",
"Exc","Excelsa",
"Ara","Arabica",
"Lib","Liberica",
"")</f>
        <v>Excelsa</v>
      </c>
      <c r="O150" t="str" cm="1">
        <f t="array" ref="O150">_xlfn.SWITCH(J150,
"M","Medium",
"L","Light",
"D","Dark",
"")</f>
        <v>Dark</v>
      </c>
      <c r="P150" t="str">
        <f>_xlfn.XLOOKUP(Orders[[#This Row],[Customer ID]],customers!$A$1:$A$1001,customers!$I$1:$I$1001,,0)</f>
        <v>Yes</v>
      </c>
    </row>
    <row r="151" spans="1:16" x14ac:dyDescent="0.35">
      <c r="A151" s="2" t="s">
        <v>1328</v>
      </c>
      <c r="B151" s="4">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_xlfn.XLOOKUP(D151,products!$A$1:$A$49,products!$B$1:$B$49,,0)</f>
        <v>Ara</v>
      </c>
      <c r="J151" t="str">
        <f>_xlfn.XLOOKUP(D151,products!$A$1:$A$49,products!$C$1:$C$49,,0)</f>
        <v>M</v>
      </c>
      <c r="K151" s="7">
        <f>_xlfn.XLOOKUP(D151,products!$A$1:$A$49,products!$D$1:$D$49,,0)</f>
        <v>2.5</v>
      </c>
      <c r="L151" s="9">
        <f>_xlfn.XLOOKUP(D151,products!$A$1:$A$49,products!$E$1:$E$49,,0)</f>
        <v>25.874999999999996</v>
      </c>
      <c r="M151" s="9">
        <f t="shared" si="2"/>
        <v>51.749999999999993</v>
      </c>
      <c r="N151" s="3" t="str" cm="1">
        <f t="array" ref="N151">_xlfn.SWITCH(I151,
"Rob","Robusta",
"Exc","Excelsa",
"Ara","Arabica",
"Lib","Liberica",
"")</f>
        <v>Arabica</v>
      </c>
      <c r="O151" t="str" cm="1">
        <f t="array" ref="O151">_xlfn.SWITCH(J151,
"M","Medium",
"L","Light",
"D","Dark",
"")</f>
        <v>Medium</v>
      </c>
      <c r="P151" t="str">
        <f>_xlfn.XLOOKUP(Orders[[#This Row],[Customer ID]],customers!$A$1:$A$1001,customers!$I$1:$I$1001,,0)</f>
        <v>Yes</v>
      </c>
    </row>
    <row r="152" spans="1:16" x14ac:dyDescent="0.35">
      <c r="A152" s="2" t="s">
        <v>1333</v>
      </c>
      <c r="B152" s="4">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_xlfn.XLOOKUP(D152,products!$A$1:$A$49,products!$B$1:$B$49,,0)</f>
        <v>Lib</v>
      </c>
      <c r="J152" t="str">
        <f>_xlfn.XLOOKUP(D152,products!$A$1:$A$49,products!$C$1:$C$49,,0)</f>
        <v>D</v>
      </c>
      <c r="K152" s="7">
        <f>_xlfn.XLOOKUP(D152,products!$A$1:$A$49,products!$D$1:$D$49,,0)</f>
        <v>1</v>
      </c>
      <c r="L152" s="9">
        <f>_xlfn.XLOOKUP(D152,products!$A$1:$A$49,products!$E$1:$E$49,,0)</f>
        <v>12.95</v>
      </c>
      <c r="M152" s="9">
        <f t="shared" si="2"/>
        <v>12.95</v>
      </c>
      <c r="N152" s="3" t="str" cm="1">
        <f t="array" ref="N152">_xlfn.SWITCH(I152,
"Rob","Robusta",
"Exc","Excelsa",
"Ara","Arabica",
"Lib","Liberica",
"")</f>
        <v>Liberica</v>
      </c>
      <c r="O152" t="str" cm="1">
        <f t="array" ref="O152">_xlfn.SWITCH(J152,
"M","Medium",
"L","Light",
"D","Dark",
"")</f>
        <v>Dark</v>
      </c>
      <c r="P152" t="str">
        <f>_xlfn.XLOOKUP(Orders[[#This Row],[Customer ID]],customers!$A$1:$A$1001,customers!$I$1:$I$1001,,0)</f>
        <v>Yes</v>
      </c>
    </row>
    <row r="153" spans="1:16" x14ac:dyDescent="0.35">
      <c r="A153" s="2" t="s">
        <v>1339</v>
      </c>
      <c r="B153" s="4">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_xlfn.XLOOKUP(D153,products!$A$1:$A$49,products!$B$1:$B$49,,0)</f>
        <v>Ara</v>
      </c>
      <c r="J153" t="str">
        <f>_xlfn.XLOOKUP(D153,products!$A$1:$A$49,products!$C$1:$C$49,,0)</f>
        <v>M</v>
      </c>
      <c r="K153" s="7">
        <f>_xlfn.XLOOKUP(D153,products!$A$1:$A$49,products!$D$1:$D$49,,0)</f>
        <v>1</v>
      </c>
      <c r="L153" s="9">
        <f>_xlfn.XLOOKUP(D153,products!$A$1:$A$49,products!$E$1:$E$49,,0)</f>
        <v>11.25</v>
      </c>
      <c r="M153" s="9">
        <f t="shared" si="2"/>
        <v>33.75</v>
      </c>
      <c r="N153" s="3" t="str" cm="1">
        <f t="array" ref="N153">_xlfn.SWITCH(I153,
"Rob","Robusta",
"Exc","Excelsa",
"Ara","Arabica",
"Lib","Liberica",
"")</f>
        <v>Arabica</v>
      </c>
      <c r="O153" t="str" cm="1">
        <f t="array" ref="O153">_xlfn.SWITCH(J153,
"M","Medium",
"L","Light",
"D","Dark",
"")</f>
        <v>Medium</v>
      </c>
      <c r="P153" t="str">
        <f>_xlfn.XLOOKUP(Orders[[#This Row],[Customer ID]],customers!$A$1:$A$1001,customers!$I$1:$I$1001,,0)</f>
        <v>Yes</v>
      </c>
    </row>
    <row r="154" spans="1:16" x14ac:dyDescent="0.35">
      <c r="A154" s="2" t="s">
        <v>1344</v>
      </c>
      <c r="B154" s="4">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_xlfn.XLOOKUP(D154,products!$A$1:$A$49,products!$B$1:$B$49,,0)</f>
        <v>Rob</v>
      </c>
      <c r="J154" t="str">
        <f>_xlfn.XLOOKUP(D154,products!$A$1:$A$49,products!$C$1:$C$49,,0)</f>
        <v>M</v>
      </c>
      <c r="K154" s="7">
        <f>_xlfn.XLOOKUP(D154,products!$A$1:$A$49,products!$D$1:$D$49,,0)</f>
        <v>2.5</v>
      </c>
      <c r="L154" s="9">
        <f>_xlfn.XLOOKUP(D154,products!$A$1:$A$49,products!$E$1:$E$49,,0)</f>
        <v>22.884999999999998</v>
      </c>
      <c r="M154" s="9">
        <f t="shared" si="2"/>
        <v>68.655000000000001</v>
      </c>
      <c r="N154" s="3" t="str" cm="1">
        <f t="array" ref="N154">_xlfn.SWITCH(I154,
"Rob","Robusta",
"Exc","Excelsa",
"Ara","Arabica",
"Lib","Liberica",
"")</f>
        <v>Robusta</v>
      </c>
      <c r="O154" t="str" cm="1">
        <f t="array" ref="O154">_xlfn.SWITCH(J154,
"M","Medium",
"L","Light",
"D","Dark",
"")</f>
        <v>Medium</v>
      </c>
      <c r="P154" t="str">
        <f>_xlfn.XLOOKUP(Orders[[#This Row],[Customer ID]],customers!$A$1:$A$1001,customers!$I$1:$I$1001,,0)</f>
        <v>Yes</v>
      </c>
    </row>
    <row r="155" spans="1:16" x14ac:dyDescent="0.35">
      <c r="A155" s="2" t="s">
        <v>1350</v>
      </c>
      <c r="B155" s="4">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_xlfn.XLOOKUP(D155,products!$A$1:$A$49,products!$B$1:$B$49,,0)</f>
        <v>Rob</v>
      </c>
      <c r="J155" t="str">
        <f>_xlfn.XLOOKUP(D155,products!$A$1:$A$49,products!$C$1:$C$49,,0)</f>
        <v>D</v>
      </c>
      <c r="K155" s="7">
        <f>_xlfn.XLOOKUP(D155,products!$A$1:$A$49,products!$D$1:$D$49,,0)</f>
        <v>0.2</v>
      </c>
      <c r="L155" s="9">
        <f>_xlfn.XLOOKUP(D155,products!$A$1:$A$49,products!$E$1:$E$49,,0)</f>
        <v>2.6849999999999996</v>
      </c>
      <c r="M155" s="9">
        <f t="shared" si="2"/>
        <v>2.6849999999999996</v>
      </c>
      <c r="N155" s="3" t="str" cm="1">
        <f t="array" ref="N155">_xlfn.SWITCH(I155,
"Rob","Robusta",
"Exc","Excelsa",
"Ara","Arabica",
"Lib","Liberica",
"")</f>
        <v>Robusta</v>
      </c>
      <c r="O155" t="str" cm="1">
        <f t="array" ref="O155">_xlfn.SWITCH(J155,
"M","Medium",
"L","Light",
"D","Dark",
"")</f>
        <v>Dark</v>
      </c>
      <c r="P155" t="str">
        <f>_xlfn.XLOOKUP(Orders[[#This Row],[Customer ID]],customers!$A$1:$A$1001,customers!$I$1:$I$1001,,0)</f>
        <v>No</v>
      </c>
    </row>
    <row r="156" spans="1:16" x14ac:dyDescent="0.35">
      <c r="A156" s="2" t="s">
        <v>1355</v>
      </c>
      <c r="B156" s="4">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_xlfn.XLOOKUP(D156,products!$A$1:$A$49,products!$B$1:$B$49,,0)</f>
        <v>Ara</v>
      </c>
      <c r="J156" t="str">
        <f>_xlfn.XLOOKUP(D156,products!$A$1:$A$49,products!$C$1:$C$49,,0)</f>
        <v>D</v>
      </c>
      <c r="K156" s="7">
        <f>_xlfn.XLOOKUP(D156,products!$A$1:$A$49,products!$D$1:$D$49,,0)</f>
        <v>2.5</v>
      </c>
      <c r="L156" s="9">
        <f>_xlfn.XLOOKUP(D156,products!$A$1:$A$49,products!$E$1:$E$49,,0)</f>
        <v>22.884999999999998</v>
      </c>
      <c r="M156" s="9">
        <f t="shared" si="2"/>
        <v>114.42499999999998</v>
      </c>
      <c r="N156" s="3" t="str" cm="1">
        <f t="array" ref="N156">_xlfn.SWITCH(I156,
"Rob","Robusta",
"Exc","Excelsa",
"Ara","Arabica",
"Lib","Liberica",
"")</f>
        <v>Arabica</v>
      </c>
      <c r="O156" t="str" cm="1">
        <f t="array" ref="O156">_xlfn.SWITCH(J156,
"M","Medium",
"L","Light",
"D","Dark",
"")</f>
        <v>Dark</v>
      </c>
      <c r="P156" t="str">
        <f>_xlfn.XLOOKUP(Orders[[#This Row],[Customer ID]],customers!$A$1:$A$1001,customers!$I$1:$I$1001,,0)</f>
        <v>No</v>
      </c>
    </row>
    <row r="157" spans="1:16" x14ac:dyDescent="0.35">
      <c r="A157" s="2" t="s">
        <v>1361</v>
      </c>
      <c r="B157" s="4">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_xlfn.XLOOKUP(D157,products!$A$1:$A$49,products!$B$1:$B$49,,0)</f>
        <v>Ara</v>
      </c>
      <c r="J157" t="str">
        <f>_xlfn.XLOOKUP(D157,products!$A$1:$A$49,products!$C$1:$C$49,,0)</f>
        <v>M</v>
      </c>
      <c r="K157" s="7">
        <f>_xlfn.XLOOKUP(D157,products!$A$1:$A$49,products!$D$1:$D$49,,0)</f>
        <v>2.5</v>
      </c>
      <c r="L157" s="9">
        <f>_xlfn.XLOOKUP(D157,products!$A$1:$A$49,products!$E$1:$E$49,,0)</f>
        <v>25.874999999999996</v>
      </c>
      <c r="M157" s="9">
        <f t="shared" si="2"/>
        <v>155.24999999999997</v>
      </c>
      <c r="N157" s="3" t="str" cm="1">
        <f t="array" ref="N157">_xlfn.SWITCH(I157,
"Rob","Robusta",
"Exc","Excelsa",
"Ara","Arabica",
"Lib","Liberica",
"")</f>
        <v>Arabica</v>
      </c>
      <c r="O157" t="str" cm="1">
        <f t="array" ref="O157">_xlfn.SWITCH(J157,
"M","Medium",
"L","Light",
"D","Dark",
"")</f>
        <v>Medium</v>
      </c>
      <c r="P157" t="str">
        <f>_xlfn.XLOOKUP(Orders[[#This Row],[Customer ID]],customers!$A$1:$A$1001,customers!$I$1:$I$1001,,0)</f>
        <v>Yes</v>
      </c>
    </row>
    <row r="158" spans="1:16" x14ac:dyDescent="0.35">
      <c r="A158" s="2" t="s">
        <v>1367</v>
      </c>
      <c r="B158" s="4">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_xlfn.XLOOKUP(D158,products!$A$1:$A$49,products!$B$1:$B$49,,0)</f>
        <v>Ara</v>
      </c>
      <c r="J158" t="str">
        <f>_xlfn.XLOOKUP(D158,products!$A$1:$A$49,products!$C$1:$C$49,,0)</f>
        <v>M</v>
      </c>
      <c r="K158" s="7">
        <f>_xlfn.XLOOKUP(D158,products!$A$1:$A$49,products!$D$1:$D$49,,0)</f>
        <v>2.5</v>
      </c>
      <c r="L158" s="9">
        <f>_xlfn.XLOOKUP(D158,products!$A$1:$A$49,products!$E$1:$E$49,,0)</f>
        <v>25.874999999999996</v>
      </c>
      <c r="M158" s="9">
        <f t="shared" si="2"/>
        <v>77.624999999999986</v>
      </c>
      <c r="N158" s="3" t="str" cm="1">
        <f t="array" ref="N158">_xlfn.SWITCH(I158,
"Rob","Robusta",
"Exc","Excelsa",
"Ara","Arabica",
"Lib","Liberica",
"")</f>
        <v>Arabica</v>
      </c>
      <c r="O158" t="str" cm="1">
        <f t="array" ref="O158">_xlfn.SWITCH(J158,
"M","Medium",
"L","Light",
"D","Dark",
"")</f>
        <v>Medium</v>
      </c>
      <c r="P158" t="str">
        <f>_xlfn.XLOOKUP(Orders[[#This Row],[Customer ID]],customers!$A$1:$A$1001,customers!$I$1:$I$1001,,0)</f>
        <v>Yes</v>
      </c>
    </row>
    <row r="159" spans="1:16" x14ac:dyDescent="0.35">
      <c r="A159" s="2" t="s">
        <v>1373</v>
      </c>
      <c r="B159" s="4">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_xlfn.XLOOKUP(D159,products!$A$1:$A$49,products!$B$1:$B$49,,0)</f>
        <v>Rob</v>
      </c>
      <c r="J159" t="str">
        <f>_xlfn.XLOOKUP(D159,products!$A$1:$A$49,products!$C$1:$C$49,,0)</f>
        <v>D</v>
      </c>
      <c r="K159" s="7">
        <f>_xlfn.XLOOKUP(D159,products!$A$1:$A$49,products!$D$1:$D$49,,0)</f>
        <v>2.5</v>
      </c>
      <c r="L159" s="9">
        <f>_xlfn.XLOOKUP(D159,products!$A$1:$A$49,products!$E$1:$E$49,,0)</f>
        <v>20.584999999999997</v>
      </c>
      <c r="M159" s="9">
        <f t="shared" si="2"/>
        <v>61.754999999999995</v>
      </c>
      <c r="N159" s="3" t="str" cm="1">
        <f t="array" ref="N159">_xlfn.SWITCH(I159,
"Rob","Robusta",
"Exc","Excelsa",
"Ara","Arabica",
"Lib","Liberica",
"")</f>
        <v>Robusta</v>
      </c>
      <c r="O159" t="str" cm="1">
        <f t="array" ref="O159">_xlfn.SWITCH(J159,
"M","Medium",
"L","Light",
"D","Dark",
"")</f>
        <v>Dark</v>
      </c>
      <c r="P159" t="str">
        <f>_xlfn.XLOOKUP(Orders[[#This Row],[Customer ID]],customers!$A$1:$A$1001,customers!$I$1:$I$1001,,0)</f>
        <v>No</v>
      </c>
    </row>
    <row r="160" spans="1:16" x14ac:dyDescent="0.35">
      <c r="A160" s="2" t="s">
        <v>1379</v>
      </c>
      <c r="B160" s="4">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_xlfn.XLOOKUP(D160,products!$A$1:$A$49,products!$B$1:$B$49,,0)</f>
        <v>Rob</v>
      </c>
      <c r="J160" t="str">
        <f>_xlfn.XLOOKUP(D160,products!$A$1:$A$49,products!$C$1:$C$49,,0)</f>
        <v>D</v>
      </c>
      <c r="K160" s="7">
        <f>_xlfn.XLOOKUP(D160,products!$A$1:$A$49,products!$D$1:$D$49,,0)</f>
        <v>2.5</v>
      </c>
      <c r="L160" s="9">
        <f>_xlfn.XLOOKUP(D160,products!$A$1:$A$49,products!$E$1:$E$49,,0)</f>
        <v>20.584999999999997</v>
      </c>
      <c r="M160" s="9">
        <f t="shared" si="2"/>
        <v>123.50999999999999</v>
      </c>
      <c r="N160" s="3" t="str" cm="1">
        <f t="array" ref="N160">_xlfn.SWITCH(I160,
"Rob","Robusta",
"Exc","Excelsa",
"Ara","Arabica",
"Lib","Liberica",
"")</f>
        <v>Robusta</v>
      </c>
      <c r="O160" t="str" cm="1">
        <f t="array" ref="O160">_xlfn.SWITCH(J160,
"M","Medium",
"L","Light",
"D","Dark",
"")</f>
        <v>Dark</v>
      </c>
      <c r="P160" t="str">
        <f>_xlfn.XLOOKUP(Orders[[#This Row],[Customer ID]],customers!$A$1:$A$1001,customers!$I$1:$I$1001,,0)</f>
        <v>Yes</v>
      </c>
    </row>
    <row r="161" spans="1:16" x14ac:dyDescent="0.35">
      <c r="A161" s="2" t="s">
        <v>1384</v>
      </c>
      <c r="B161" s="4">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_xlfn.XLOOKUP(D161,products!$A$1:$A$49,products!$B$1:$B$49,,0)</f>
        <v>Lib</v>
      </c>
      <c r="J161" t="str">
        <f>_xlfn.XLOOKUP(D161,products!$A$1:$A$49,products!$C$1:$C$49,,0)</f>
        <v>L</v>
      </c>
      <c r="K161" s="7">
        <f>_xlfn.XLOOKUP(D161,products!$A$1:$A$49,products!$D$1:$D$49,,0)</f>
        <v>2.5</v>
      </c>
      <c r="L161" s="9">
        <f>_xlfn.XLOOKUP(D161,products!$A$1:$A$49,products!$E$1:$E$49,,0)</f>
        <v>36.454999999999998</v>
      </c>
      <c r="M161" s="9">
        <f t="shared" si="2"/>
        <v>218.73</v>
      </c>
      <c r="N161" s="3" t="str" cm="1">
        <f t="array" ref="N161">_xlfn.SWITCH(I161,
"Rob","Robusta",
"Exc","Excelsa",
"Ara","Arabica",
"Lib","Liberica",
"")</f>
        <v>Liberica</v>
      </c>
      <c r="O161" t="str" cm="1">
        <f t="array" ref="O161">_xlfn.SWITCH(J161,
"M","Medium",
"L","Light",
"D","Dark",
"")</f>
        <v>Light</v>
      </c>
      <c r="P161" t="str">
        <f>_xlfn.XLOOKUP(Orders[[#This Row],[Customer ID]],customers!$A$1:$A$1001,customers!$I$1:$I$1001,,0)</f>
        <v>No</v>
      </c>
    </row>
    <row r="162" spans="1:16" x14ac:dyDescent="0.35">
      <c r="A162" s="2" t="s">
        <v>1389</v>
      </c>
      <c r="B162" s="4">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_xlfn.XLOOKUP(D162,products!$A$1:$A$49,products!$B$1:$B$49,,0)</f>
        <v>Exc</v>
      </c>
      <c r="J162" t="str">
        <f>_xlfn.XLOOKUP(D162,products!$A$1:$A$49,products!$C$1:$C$49,,0)</f>
        <v>M</v>
      </c>
      <c r="K162" s="7">
        <f>_xlfn.XLOOKUP(D162,products!$A$1:$A$49,products!$D$1:$D$49,,0)</f>
        <v>0.5</v>
      </c>
      <c r="L162" s="9">
        <f>_xlfn.XLOOKUP(D162,products!$A$1:$A$49,products!$E$1:$E$49,,0)</f>
        <v>8.25</v>
      </c>
      <c r="M162" s="9">
        <f t="shared" si="2"/>
        <v>33</v>
      </c>
      <c r="N162" s="3" t="str" cm="1">
        <f t="array" ref="N162">_xlfn.SWITCH(I162,
"Rob","Robusta",
"Exc","Excelsa",
"Ara","Arabica",
"Lib","Liberica",
"")</f>
        <v>Excelsa</v>
      </c>
      <c r="O162" t="str" cm="1">
        <f t="array" ref="O162">_xlfn.SWITCH(J162,
"M","Medium",
"L","Light",
"D","Dark",
"")</f>
        <v>Medium</v>
      </c>
      <c r="P162" t="str">
        <f>_xlfn.XLOOKUP(Orders[[#This Row],[Customer ID]],customers!$A$1:$A$1001,customers!$I$1:$I$1001,,0)</f>
        <v>No</v>
      </c>
    </row>
    <row r="163" spans="1:16" x14ac:dyDescent="0.35">
      <c r="A163" s="2" t="s">
        <v>1395</v>
      </c>
      <c r="B163" s="4">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_xlfn.XLOOKUP(D163,products!$A$1:$A$49,products!$B$1:$B$49,,0)</f>
        <v>Ara</v>
      </c>
      <c r="J163" t="str">
        <f>_xlfn.XLOOKUP(D163,products!$A$1:$A$49,products!$C$1:$C$49,,0)</f>
        <v>L</v>
      </c>
      <c r="K163" s="7">
        <f>_xlfn.XLOOKUP(D163,products!$A$1:$A$49,products!$D$1:$D$49,,0)</f>
        <v>0.5</v>
      </c>
      <c r="L163" s="9">
        <f>_xlfn.XLOOKUP(D163,products!$A$1:$A$49,products!$E$1:$E$49,,0)</f>
        <v>7.77</v>
      </c>
      <c r="M163" s="9">
        <f t="shared" si="2"/>
        <v>23.31</v>
      </c>
      <c r="N163" s="3" t="str" cm="1">
        <f t="array" ref="N163">_xlfn.SWITCH(I163,
"Rob","Robusta",
"Exc","Excelsa",
"Ara","Arabica",
"Lib","Liberica",
"")</f>
        <v>Arabica</v>
      </c>
      <c r="O163" t="str" cm="1">
        <f t="array" ref="O163">_xlfn.SWITCH(J163,
"M","Medium",
"L","Light",
"D","Dark",
"")</f>
        <v>Light</v>
      </c>
      <c r="P163" t="str">
        <f>_xlfn.XLOOKUP(Orders[[#This Row],[Customer ID]],customers!$A$1:$A$1001,customers!$I$1:$I$1001,,0)</f>
        <v>No</v>
      </c>
    </row>
    <row r="164" spans="1:16" x14ac:dyDescent="0.35">
      <c r="A164" s="2" t="s">
        <v>1401</v>
      </c>
      <c r="B164" s="4">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_xlfn.XLOOKUP(D164,products!$A$1:$A$49,products!$B$1:$B$49,,0)</f>
        <v>Exc</v>
      </c>
      <c r="J164" t="str">
        <f>_xlfn.XLOOKUP(D164,products!$A$1:$A$49,products!$C$1:$C$49,,0)</f>
        <v>D</v>
      </c>
      <c r="K164" s="7">
        <f>_xlfn.XLOOKUP(D164,products!$A$1:$A$49,products!$D$1:$D$49,,0)</f>
        <v>0.5</v>
      </c>
      <c r="L164" s="9">
        <f>_xlfn.XLOOKUP(D164,products!$A$1:$A$49,products!$E$1:$E$49,,0)</f>
        <v>7.29</v>
      </c>
      <c r="M164" s="9">
        <f t="shared" si="2"/>
        <v>21.87</v>
      </c>
      <c r="N164" s="3" t="str" cm="1">
        <f t="array" ref="N164">_xlfn.SWITCH(I164,
"Rob","Robusta",
"Exc","Excelsa",
"Ara","Arabica",
"Lib","Liberica",
"")</f>
        <v>Excelsa</v>
      </c>
      <c r="O164" t="str" cm="1">
        <f t="array" ref="O164">_xlfn.SWITCH(J164,
"M","Medium",
"L","Light",
"D","Dark",
"")</f>
        <v>Dark</v>
      </c>
      <c r="P164" t="str">
        <f>_xlfn.XLOOKUP(Orders[[#This Row],[Customer ID]],customers!$A$1:$A$1001,customers!$I$1:$I$1001,,0)</f>
        <v>Yes</v>
      </c>
    </row>
    <row r="165" spans="1:16" x14ac:dyDescent="0.35">
      <c r="A165" s="2" t="s">
        <v>1407</v>
      </c>
      <c r="B165" s="4">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_xlfn.XLOOKUP(D165,products!$A$1:$A$49,products!$B$1:$B$49,,0)</f>
        <v>Rob</v>
      </c>
      <c r="J165" t="str">
        <f>_xlfn.XLOOKUP(D165,products!$A$1:$A$49,products!$C$1:$C$49,,0)</f>
        <v>D</v>
      </c>
      <c r="K165" s="7">
        <f>_xlfn.XLOOKUP(D165,products!$A$1:$A$49,products!$D$1:$D$49,,0)</f>
        <v>0.2</v>
      </c>
      <c r="L165" s="9">
        <f>_xlfn.XLOOKUP(D165,products!$A$1:$A$49,products!$E$1:$E$49,,0)</f>
        <v>2.6849999999999996</v>
      </c>
      <c r="M165" s="9">
        <f t="shared" si="2"/>
        <v>16.11</v>
      </c>
      <c r="N165" s="3" t="str" cm="1">
        <f t="array" ref="N165">_xlfn.SWITCH(I165,
"Rob","Robusta",
"Exc","Excelsa",
"Ara","Arabica",
"Lib","Liberica",
"")</f>
        <v>Robusta</v>
      </c>
      <c r="O165" t="str" cm="1">
        <f t="array" ref="O165">_xlfn.SWITCH(J165,
"M","Medium",
"L","Light",
"D","Dark",
"")</f>
        <v>Dark</v>
      </c>
      <c r="P165" t="str">
        <f>_xlfn.XLOOKUP(Orders[[#This Row],[Customer ID]],customers!$A$1:$A$1001,customers!$I$1:$I$1001,,0)</f>
        <v>No</v>
      </c>
    </row>
    <row r="166" spans="1:16" x14ac:dyDescent="0.35">
      <c r="A166" s="2" t="s">
        <v>1413</v>
      </c>
      <c r="B166" s="4">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_xlfn.XLOOKUP(D166,products!$A$1:$A$49,products!$B$1:$B$49,,0)</f>
        <v>Exc</v>
      </c>
      <c r="J166" t="str">
        <f>_xlfn.XLOOKUP(D166,products!$A$1:$A$49,products!$C$1:$C$49,,0)</f>
        <v>D</v>
      </c>
      <c r="K166" s="7">
        <f>_xlfn.XLOOKUP(D166,products!$A$1:$A$49,products!$D$1:$D$49,,0)</f>
        <v>0.5</v>
      </c>
      <c r="L166" s="9">
        <f>_xlfn.XLOOKUP(D166,products!$A$1:$A$49,products!$E$1:$E$49,,0)</f>
        <v>7.29</v>
      </c>
      <c r="M166" s="9">
        <f t="shared" si="2"/>
        <v>29.16</v>
      </c>
      <c r="N166" s="3" t="str" cm="1">
        <f t="array" ref="N166">_xlfn.SWITCH(I166,
"Rob","Robusta",
"Exc","Excelsa",
"Ara","Arabica",
"Lib","Liberica",
"")</f>
        <v>Excelsa</v>
      </c>
      <c r="O166" t="str" cm="1">
        <f t="array" ref="O166">_xlfn.SWITCH(J166,
"M","Medium",
"L","Light",
"D","Dark",
"")</f>
        <v>Dark</v>
      </c>
      <c r="P166" t="str">
        <f>_xlfn.XLOOKUP(Orders[[#This Row],[Customer ID]],customers!$A$1:$A$1001,customers!$I$1:$I$1001,,0)</f>
        <v>No</v>
      </c>
    </row>
    <row r="167" spans="1:16" x14ac:dyDescent="0.35">
      <c r="A167" s="2" t="s">
        <v>1420</v>
      </c>
      <c r="B167" s="4">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_xlfn.XLOOKUP(D167,products!$A$1:$A$49,products!$B$1:$B$49,,0)</f>
        <v>Rob</v>
      </c>
      <c r="J167" t="str">
        <f>_xlfn.XLOOKUP(D167,products!$A$1:$A$49,products!$C$1:$C$49,,0)</f>
        <v>D</v>
      </c>
      <c r="K167" s="7">
        <f>_xlfn.XLOOKUP(D167,products!$A$1:$A$49,products!$D$1:$D$49,,0)</f>
        <v>1</v>
      </c>
      <c r="L167" s="9">
        <f>_xlfn.XLOOKUP(D167,products!$A$1:$A$49,products!$E$1:$E$49,,0)</f>
        <v>8.9499999999999993</v>
      </c>
      <c r="M167" s="9">
        <f t="shared" si="2"/>
        <v>53.699999999999996</v>
      </c>
      <c r="N167" s="3" t="str" cm="1">
        <f t="array" ref="N167">_xlfn.SWITCH(I167,
"Rob","Robusta",
"Exc","Excelsa",
"Ara","Arabica",
"Lib","Liberica",
"")</f>
        <v>Robusta</v>
      </c>
      <c r="O167" t="str" cm="1">
        <f t="array" ref="O167">_xlfn.SWITCH(J167,
"M","Medium",
"L","Light",
"D","Dark",
"")</f>
        <v>Dark</v>
      </c>
      <c r="P167" t="str">
        <f>_xlfn.XLOOKUP(Orders[[#This Row],[Customer ID]],customers!$A$1:$A$1001,customers!$I$1:$I$1001,,0)</f>
        <v>Yes</v>
      </c>
    </row>
    <row r="168" spans="1:16" x14ac:dyDescent="0.35">
      <c r="A168" s="2" t="s">
        <v>1425</v>
      </c>
      <c r="B168" s="4">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_xlfn.XLOOKUP(D168,products!$A$1:$A$49,products!$B$1:$B$49,,0)</f>
        <v>Rob</v>
      </c>
      <c r="J168" t="str">
        <f>_xlfn.XLOOKUP(D168,products!$A$1:$A$49,products!$C$1:$C$49,,0)</f>
        <v>D</v>
      </c>
      <c r="K168" s="7">
        <f>_xlfn.XLOOKUP(D168,products!$A$1:$A$49,products!$D$1:$D$49,,0)</f>
        <v>0.5</v>
      </c>
      <c r="L168" s="9">
        <f>_xlfn.XLOOKUP(D168,products!$A$1:$A$49,products!$E$1:$E$49,,0)</f>
        <v>5.3699999999999992</v>
      </c>
      <c r="M168" s="9">
        <f t="shared" si="2"/>
        <v>26.849999999999994</v>
      </c>
      <c r="N168" s="3" t="str" cm="1">
        <f t="array" ref="N168">_xlfn.SWITCH(I168,
"Rob","Robusta",
"Exc","Excelsa",
"Ara","Arabica",
"Lib","Liberica",
"")</f>
        <v>Robusta</v>
      </c>
      <c r="O168" t="str" cm="1">
        <f t="array" ref="O168">_xlfn.SWITCH(J168,
"M","Medium",
"L","Light",
"D","Dark",
"")</f>
        <v>Dark</v>
      </c>
      <c r="P168" t="str">
        <f>_xlfn.XLOOKUP(Orders[[#This Row],[Customer ID]],customers!$A$1:$A$1001,customers!$I$1:$I$1001,,0)</f>
        <v>Yes</v>
      </c>
    </row>
    <row r="169" spans="1:16" x14ac:dyDescent="0.35">
      <c r="A169" s="2" t="s">
        <v>1430</v>
      </c>
      <c r="B169" s="4">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_xlfn.XLOOKUP(D169,products!$A$1:$A$49,products!$B$1:$B$49,,0)</f>
        <v>Exc</v>
      </c>
      <c r="J169" t="str">
        <f>_xlfn.XLOOKUP(D169,products!$A$1:$A$49,products!$C$1:$C$49,,0)</f>
        <v>M</v>
      </c>
      <c r="K169" s="7">
        <f>_xlfn.XLOOKUP(D169,products!$A$1:$A$49,products!$D$1:$D$49,,0)</f>
        <v>0.5</v>
      </c>
      <c r="L169" s="9">
        <f>_xlfn.XLOOKUP(D169,products!$A$1:$A$49,products!$E$1:$E$49,,0)</f>
        <v>8.25</v>
      </c>
      <c r="M169" s="9">
        <f t="shared" si="2"/>
        <v>41.25</v>
      </c>
      <c r="N169" s="3" t="str" cm="1">
        <f t="array" ref="N169">_xlfn.SWITCH(I169,
"Rob","Robusta",
"Exc","Excelsa",
"Ara","Arabica",
"Lib","Liberica",
"")</f>
        <v>Excelsa</v>
      </c>
      <c r="O169" t="str" cm="1">
        <f t="array" ref="O169">_xlfn.SWITCH(J169,
"M","Medium",
"L","Light",
"D","Dark",
"")</f>
        <v>Medium</v>
      </c>
      <c r="P169" t="str">
        <f>_xlfn.XLOOKUP(Orders[[#This Row],[Customer ID]],customers!$A$1:$A$1001,customers!$I$1:$I$1001,,0)</f>
        <v>Yes</v>
      </c>
    </row>
    <row r="170" spans="1:16" x14ac:dyDescent="0.35">
      <c r="A170" s="2" t="s">
        <v>1436</v>
      </c>
      <c r="B170" s="4">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_xlfn.XLOOKUP(D170,products!$A$1:$A$49,products!$B$1:$B$49,,0)</f>
        <v>Ara</v>
      </c>
      <c r="J170" t="str">
        <f>_xlfn.XLOOKUP(D170,products!$A$1:$A$49,products!$C$1:$C$49,,0)</f>
        <v>M</v>
      </c>
      <c r="K170" s="7">
        <f>_xlfn.XLOOKUP(D170,products!$A$1:$A$49,products!$D$1:$D$49,,0)</f>
        <v>0.5</v>
      </c>
      <c r="L170" s="9">
        <f>_xlfn.XLOOKUP(D170,products!$A$1:$A$49,products!$E$1:$E$49,,0)</f>
        <v>6.75</v>
      </c>
      <c r="M170" s="9">
        <f t="shared" si="2"/>
        <v>40.5</v>
      </c>
      <c r="N170" s="3" t="str" cm="1">
        <f t="array" ref="N170">_xlfn.SWITCH(I170,
"Rob","Robusta",
"Exc","Excelsa",
"Ara","Arabica",
"Lib","Liberica",
"")</f>
        <v>Arabica</v>
      </c>
      <c r="O170" t="str" cm="1">
        <f t="array" ref="O170">_xlfn.SWITCH(J170,
"M","Medium",
"L","Light",
"D","Dark",
"")</f>
        <v>Medium</v>
      </c>
      <c r="P170" t="str">
        <f>_xlfn.XLOOKUP(Orders[[#This Row],[Customer ID]],customers!$A$1:$A$1001,customers!$I$1:$I$1001,,0)</f>
        <v>No</v>
      </c>
    </row>
    <row r="171" spans="1:16" x14ac:dyDescent="0.35">
      <c r="A171" s="2" t="s">
        <v>1441</v>
      </c>
      <c r="B171" s="4">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_xlfn.XLOOKUP(D171,products!$A$1:$A$49,products!$B$1:$B$49,,0)</f>
        <v>Rob</v>
      </c>
      <c r="J171" t="str">
        <f>_xlfn.XLOOKUP(D171,products!$A$1:$A$49,products!$C$1:$C$49,,0)</f>
        <v>D</v>
      </c>
      <c r="K171" s="7">
        <f>_xlfn.XLOOKUP(D171,products!$A$1:$A$49,products!$D$1:$D$49,,0)</f>
        <v>1</v>
      </c>
      <c r="L171" s="9">
        <f>_xlfn.XLOOKUP(D171,products!$A$1:$A$49,products!$E$1:$E$49,,0)</f>
        <v>8.9499999999999993</v>
      </c>
      <c r="M171" s="9">
        <f t="shared" si="2"/>
        <v>17.899999999999999</v>
      </c>
      <c r="N171" s="3" t="str" cm="1">
        <f t="array" ref="N171">_xlfn.SWITCH(I171,
"Rob","Robusta",
"Exc","Excelsa",
"Ara","Arabica",
"Lib","Liberica",
"")</f>
        <v>Robusta</v>
      </c>
      <c r="O171" t="str" cm="1">
        <f t="array" ref="O171">_xlfn.SWITCH(J171,
"M","Medium",
"L","Light",
"D","Dark",
"")</f>
        <v>Dark</v>
      </c>
      <c r="P171" t="str">
        <f>_xlfn.XLOOKUP(Orders[[#This Row],[Customer ID]],customers!$A$1:$A$1001,customers!$I$1:$I$1001,,0)</f>
        <v>No</v>
      </c>
    </row>
    <row r="172" spans="1:16" x14ac:dyDescent="0.35">
      <c r="A172" s="2" t="s">
        <v>1448</v>
      </c>
      <c r="B172" s="4">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_xlfn.XLOOKUP(D172,products!$A$1:$A$49,products!$B$1:$B$49,,0)</f>
        <v>Exc</v>
      </c>
      <c r="J172" t="str">
        <f>_xlfn.XLOOKUP(D172,products!$A$1:$A$49,products!$C$1:$C$49,,0)</f>
        <v>L</v>
      </c>
      <c r="K172" s="7">
        <f>_xlfn.XLOOKUP(D172,products!$A$1:$A$49,products!$D$1:$D$49,,0)</f>
        <v>2.5</v>
      </c>
      <c r="L172" s="9">
        <f>_xlfn.XLOOKUP(D172,products!$A$1:$A$49,products!$E$1:$E$49,,0)</f>
        <v>34.154999999999994</v>
      </c>
      <c r="M172" s="9">
        <f t="shared" si="2"/>
        <v>68.309999999999988</v>
      </c>
      <c r="N172" s="3" t="str" cm="1">
        <f t="array" ref="N172">_xlfn.SWITCH(I172,
"Rob","Robusta",
"Exc","Excelsa",
"Ara","Arabica",
"Lib","Liberica",
"")</f>
        <v>Excelsa</v>
      </c>
      <c r="O172" t="str" cm="1">
        <f t="array" ref="O172">_xlfn.SWITCH(J172,
"M","Medium",
"L","Light",
"D","Dark",
"")</f>
        <v>Light</v>
      </c>
      <c r="P172" t="str">
        <f>_xlfn.XLOOKUP(Orders[[#This Row],[Customer ID]],customers!$A$1:$A$1001,customers!$I$1:$I$1001,,0)</f>
        <v>No</v>
      </c>
    </row>
    <row r="173" spans="1:16" x14ac:dyDescent="0.35">
      <c r="A173" s="2" t="s">
        <v>1453</v>
      </c>
      <c r="B173" s="4">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_xlfn.XLOOKUP(D173,products!$A$1:$A$49,products!$B$1:$B$49,,0)</f>
        <v>Exc</v>
      </c>
      <c r="J173" t="str">
        <f>_xlfn.XLOOKUP(D173,products!$A$1:$A$49,products!$C$1:$C$49,,0)</f>
        <v>M</v>
      </c>
      <c r="K173" s="7">
        <f>_xlfn.XLOOKUP(D173,products!$A$1:$A$49,products!$D$1:$D$49,,0)</f>
        <v>2.5</v>
      </c>
      <c r="L173" s="9">
        <f>_xlfn.XLOOKUP(D173,products!$A$1:$A$49,products!$E$1:$E$49,,0)</f>
        <v>31.624999999999996</v>
      </c>
      <c r="M173" s="9">
        <f t="shared" si="2"/>
        <v>63.249999999999993</v>
      </c>
      <c r="N173" s="3" t="str" cm="1">
        <f t="array" ref="N173">_xlfn.SWITCH(I173,
"Rob","Robusta",
"Exc","Excelsa",
"Ara","Arabica",
"Lib","Liberica",
"")</f>
        <v>Excelsa</v>
      </c>
      <c r="O173" t="str" cm="1">
        <f t="array" ref="O173">_xlfn.SWITCH(J173,
"M","Medium",
"L","Light",
"D","Dark",
"")</f>
        <v>Medium</v>
      </c>
      <c r="P173" t="str">
        <f>_xlfn.XLOOKUP(Orders[[#This Row],[Customer ID]],customers!$A$1:$A$1001,customers!$I$1:$I$1001,,0)</f>
        <v>Yes</v>
      </c>
    </row>
    <row r="174" spans="1:16" x14ac:dyDescent="0.35">
      <c r="A174" s="2" t="s">
        <v>1459</v>
      </c>
      <c r="B174" s="4">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_xlfn.XLOOKUP(D174,products!$A$1:$A$49,products!$B$1:$B$49,,0)</f>
        <v>Exc</v>
      </c>
      <c r="J174" t="str">
        <f>_xlfn.XLOOKUP(D174,products!$A$1:$A$49,products!$C$1:$C$49,,0)</f>
        <v>D</v>
      </c>
      <c r="K174" s="7">
        <f>_xlfn.XLOOKUP(D174,products!$A$1:$A$49,products!$D$1:$D$49,,0)</f>
        <v>0.5</v>
      </c>
      <c r="L174" s="9">
        <f>_xlfn.XLOOKUP(D174,products!$A$1:$A$49,products!$E$1:$E$49,,0)</f>
        <v>7.29</v>
      </c>
      <c r="M174" s="9">
        <f t="shared" si="2"/>
        <v>21.87</v>
      </c>
      <c r="N174" s="3" t="str" cm="1">
        <f t="array" ref="N174">_xlfn.SWITCH(I174,
"Rob","Robusta",
"Exc","Excelsa",
"Ara","Arabica",
"Lib","Liberica",
"")</f>
        <v>Excelsa</v>
      </c>
      <c r="O174" t="str" cm="1">
        <f t="array" ref="O174">_xlfn.SWITCH(J174,
"M","Medium",
"L","Light",
"D","Dark",
"")</f>
        <v>Dark</v>
      </c>
      <c r="P174" t="str">
        <f>_xlfn.XLOOKUP(Orders[[#This Row],[Customer ID]],customers!$A$1:$A$1001,customers!$I$1:$I$1001,,0)</f>
        <v>No</v>
      </c>
    </row>
    <row r="175" spans="1:16" x14ac:dyDescent="0.35">
      <c r="A175" s="2" t="s">
        <v>1464</v>
      </c>
      <c r="B175" s="4">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_xlfn.XLOOKUP(D175,products!$A$1:$A$49,products!$B$1:$B$49,,0)</f>
        <v>Rob</v>
      </c>
      <c r="J175" t="str">
        <f>_xlfn.XLOOKUP(D175,products!$A$1:$A$49,products!$C$1:$C$49,,0)</f>
        <v>M</v>
      </c>
      <c r="K175" s="7">
        <f>_xlfn.XLOOKUP(D175,products!$A$1:$A$49,products!$D$1:$D$49,,0)</f>
        <v>2.5</v>
      </c>
      <c r="L175" s="9">
        <f>_xlfn.XLOOKUP(D175,products!$A$1:$A$49,products!$E$1:$E$49,,0)</f>
        <v>22.884999999999998</v>
      </c>
      <c r="M175" s="9">
        <f t="shared" si="2"/>
        <v>91.539999999999992</v>
      </c>
      <c r="N175" s="3" t="str" cm="1">
        <f t="array" ref="N175">_xlfn.SWITCH(I175,
"Rob","Robusta",
"Exc","Excelsa",
"Ara","Arabica",
"Lib","Liberica",
"")</f>
        <v>Robusta</v>
      </c>
      <c r="O175" t="str" cm="1">
        <f t="array" ref="O175">_xlfn.SWITCH(J175,
"M","Medium",
"L","Light",
"D","Dark",
"")</f>
        <v>Medium</v>
      </c>
      <c r="P175" t="str">
        <f>_xlfn.XLOOKUP(Orders[[#This Row],[Customer ID]],customers!$A$1:$A$1001,customers!$I$1:$I$1001,,0)</f>
        <v>No</v>
      </c>
    </row>
    <row r="176" spans="1:16" x14ac:dyDescent="0.35">
      <c r="A176" s="2" t="s">
        <v>1470</v>
      </c>
      <c r="B176" s="4">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_xlfn.XLOOKUP(D176,products!$A$1:$A$49,products!$B$1:$B$49,,0)</f>
        <v>Exc</v>
      </c>
      <c r="J176" t="str">
        <f>_xlfn.XLOOKUP(D176,products!$A$1:$A$49,products!$C$1:$C$49,,0)</f>
        <v>L</v>
      </c>
      <c r="K176" s="7">
        <f>_xlfn.XLOOKUP(D176,products!$A$1:$A$49,products!$D$1:$D$49,,0)</f>
        <v>2.5</v>
      </c>
      <c r="L176" s="9">
        <f>_xlfn.XLOOKUP(D176,products!$A$1:$A$49,products!$E$1:$E$49,,0)</f>
        <v>34.154999999999994</v>
      </c>
      <c r="M176" s="9">
        <f t="shared" si="2"/>
        <v>204.92999999999995</v>
      </c>
      <c r="N176" s="3" t="str" cm="1">
        <f t="array" ref="N176">_xlfn.SWITCH(I176,
"Rob","Robusta",
"Exc","Excelsa",
"Ara","Arabica",
"Lib","Liberica",
"")</f>
        <v>Excelsa</v>
      </c>
      <c r="O176" t="str" cm="1">
        <f t="array" ref="O176">_xlfn.SWITCH(J176,
"M","Medium",
"L","Light",
"D","Dark",
"")</f>
        <v>Light</v>
      </c>
      <c r="P176" t="str">
        <f>_xlfn.XLOOKUP(Orders[[#This Row],[Customer ID]],customers!$A$1:$A$1001,customers!$I$1:$I$1001,,0)</f>
        <v>Yes</v>
      </c>
    </row>
    <row r="177" spans="1:16" x14ac:dyDescent="0.35">
      <c r="A177" s="2" t="s">
        <v>1475</v>
      </c>
      <c r="B177" s="4">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_xlfn.XLOOKUP(D177,products!$A$1:$A$49,products!$B$1:$B$49,,0)</f>
        <v>Exc</v>
      </c>
      <c r="J177" t="str">
        <f>_xlfn.XLOOKUP(D177,products!$A$1:$A$49,products!$C$1:$C$49,,0)</f>
        <v>M</v>
      </c>
      <c r="K177" s="7">
        <f>_xlfn.XLOOKUP(D177,products!$A$1:$A$49,products!$D$1:$D$49,,0)</f>
        <v>2.5</v>
      </c>
      <c r="L177" s="9">
        <f>_xlfn.XLOOKUP(D177,products!$A$1:$A$49,products!$E$1:$E$49,,0)</f>
        <v>31.624999999999996</v>
      </c>
      <c r="M177" s="9">
        <f t="shared" si="2"/>
        <v>63.249999999999993</v>
      </c>
      <c r="N177" s="3" t="str" cm="1">
        <f t="array" ref="N177">_xlfn.SWITCH(I177,
"Rob","Robusta",
"Exc","Excelsa",
"Ara","Arabica",
"Lib","Liberica",
"")</f>
        <v>Excelsa</v>
      </c>
      <c r="O177" t="str" cm="1">
        <f t="array" ref="O177">_xlfn.SWITCH(J177,
"M","Medium",
"L","Light",
"D","Dark",
"")</f>
        <v>Medium</v>
      </c>
      <c r="P177" t="str">
        <f>_xlfn.XLOOKUP(Orders[[#This Row],[Customer ID]],customers!$A$1:$A$1001,customers!$I$1:$I$1001,,0)</f>
        <v>Yes</v>
      </c>
    </row>
    <row r="178" spans="1:16" x14ac:dyDescent="0.35">
      <c r="A178" s="2" t="s">
        <v>1481</v>
      </c>
      <c r="B178" s="4">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_xlfn.XLOOKUP(D178,products!$A$1:$A$49,products!$B$1:$B$49,,0)</f>
        <v>Exc</v>
      </c>
      <c r="J178" t="str">
        <f>_xlfn.XLOOKUP(D178,products!$A$1:$A$49,products!$C$1:$C$49,,0)</f>
        <v>L</v>
      </c>
      <c r="K178" s="7">
        <f>_xlfn.XLOOKUP(D178,products!$A$1:$A$49,products!$D$1:$D$49,,0)</f>
        <v>2.5</v>
      </c>
      <c r="L178" s="9">
        <f>_xlfn.XLOOKUP(D178,products!$A$1:$A$49,products!$E$1:$E$49,,0)</f>
        <v>34.154999999999994</v>
      </c>
      <c r="M178" s="9">
        <f t="shared" si="2"/>
        <v>34.154999999999994</v>
      </c>
      <c r="N178" s="3" t="str" cm="1">
        <f t="array" ref="N178">_xlfn.SWITCH(I178,
"Rob","Robusta",
"Exc","Excelsa",
"Ara","Arabica",
"Lib","Liberica",
"")</f>
        <v>Excelsa</v>
      </c>
      <c r="O178" t="str" cm="1">
        <f t="array" ref="O178">_xlfn.SWITCH(J178,
"M","Medium",
"L","Light",
"D","Dark",
"")</f>
        <v>Light</v>
      </c>
      <c r="P178" t="str">
        <f>_xlfn.XLOOKUP(Orders[[#This Row],[Customer ID]],customers!$A$1:$A$1001,customers!$I$1:$I$1001,,0)</f>
        <v>Yes</v>
      </c>
    </row>
    <row r="179" spans="1:16" x14ac:dyDescent="0.35">
      <c r="A179" s="2" t="s">
        <v>1487</v>
      </c>
      <c r="B179" s="4">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_xlfn.XLOOKUP(D179,products!$A$1:$A$49,products!$B$1:$B$49,,0)</f>
        <v>Rob</v>
      </c>
      <c r="J179" t="str">
        <f>_xlfn.XLOOKUP(D179,products!$A$1:$A$49,products!$C$1:$C$49,,0)</f>
        <v>L</v>
      </c>
      <c r="K179" s="7">
        <f>_xlfn.XLOOKUP(D179,products!$A$1:$A$49,products!$D$1:$D$49,,0)</f>
        <v>2.5</v>
      </c>
      <c r="L179" s="9">
        <f>_xlfn.XLOOKUP(D179,products!$A$1:$A$49,products!$E$1:$E$49,,0)</f>
        <v>27.484999999999996</v>
      </c>
      <c r="M179" s="9">
        <f t="shared" si="2"/>
        <v>109.93999999999998</v>
      </c>
      <c r="N179" s="3" t="str" cm="1">
        <f t="array" ref="N179">_xlfn.SWITCH(I179,
"Rob","Robusta",
"Exc","Excelsa",
"Ara","Arabica",
"Lib","Liberica",
"")</f>
        <v>Robusta</v>
      </c>
      <c r="O179" t="str" cm="1">
        <f t="array" ref="O179">_xlfn.SWITCH(J179,
"M","Medium",
"L","Light",
"D","Dark",
"")</f>
        <v>Light</v>
      </c>
      <c r="P179" t="str">
        <f>_xlfn.XLOOKUP(Orders[[#This Row],[Customer ID]],customers!$A$1:$A$1001,customers!$I$1:$I$1001,,0)</f>
        <v>Yes</v>
      </c>
    </row>
    <row r="180" spans="1:16" x14ac:dyDescent="0.35">
      <c r="A180" s="2" t="s">
        <v>1492</v>
      </c>
      <c r="B180" s="4">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_xlfn.XLOOKUP(D180,products!$A$1:$A$49,products!$B$1:$B$49,,0)</f>
        <v>Ara</v>
      </c>
      <c r="J180" t="str">
        <f>_xlfn.XLOOKUP(D180,products!$A$1:$A$49,products!$C$1:$C$49,,0)</f>
        <v>L</v>
      </c>
      <c r="K180" s="7">
        <f>_xlfn.XLOOKUP(D180,products!$A$1:$A$49,products!$D$1:$D$49,,0)</f>
        <v>1</v>
      </c>
      <c r="L180" s="9">
        <f>_xlfn.XLOOKUP(D180,products!$A$1:$A$49,products!$E$1:$E$49,,0)</f>
        <v>12.95</v>
      </c>
      <c r="M180" s="9">
        <f t="shared" si="2"/>
        <v>25.9</v>
      </c>
      <c r="N180" s="3" t="str" cm="1">
        <f t="array" ref="N180">_xlfn.SWITCH(I180,
"Rob","Robusta",
"Exc","Excelsa",
"Ara","Arabica",
"Lib","Liberica",
"")</f>
        <v>Arabica</v>
      </c>
      <c r="O180" t="str" cm="1">
        <f t="array" ref="O180">_xlfn.SWITCH(J180,
"M","Medium",
"L","Light",
"D","Dark",
"")</f>
        <v>Light</v>
      </c>
      <c r="P180" t="str">
        <f>_xlfn.XLOOKUP(Orders[[#This Row],[Customer ID]],customers!$A$1:$A$1001,customers!$I$1:$I$1001,,0)</f>
        <v>No</v>
      </c>
    </row>
    <row r="181" spans="1:16" x14ac:dyDescent="0.35">
      <c r="A181" s="2" t="s">
        <v>1498</v>
      </c>
      <c r="B181" s="4">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_xlfn.XLOOKUP(D181,products!$A$1:$A$49,products!$B$1:$B$49,,0)</f>
        <v>Ara</v>
      </c>
      <c r="J181" t="str">
        <f>_xlfn.XLOOKUP(D181,products!$A$1:$A$49,products!$C$1:$C$49,,0)</f>
        <v>D</v>
      </c>
      <c r="K181" s="7">
        <f>_xlfn.XLOOKUP(D181,products!$A$1:$A$49,products!$D$1:$D$49,,0)</f>
        <v>0.2</v>
      </c>
      <c r="L181" s="9">
        <f>_xlfn.XLOOKUP(D181,products!$A$1:$A$49,products!$E$1:$E$49,,0)</f>
        <v>2.9849999999999999</v>
      </c>
      <c r="M181" s="9">
        <f t="shared" si="2"/>
        <v>2.9849999999999999</v>
      </c>
      <c r="N181" s="3" t="str" cm="1">
        <f t="array" ref="N181">_xlfn.SWITCH(I181,
"Rob","Robusta",
"Exc","Excelsa",
"Ara","Arabica",
"Lib","Liberica",
"")</f>
        <v>Arabica</v>
      </c>
      <c r="O181" t="str" cm="1">
        <f t="array" ref="O181">_xlfn.SWITCH(J181,
"M","Medium",
"L","Light",
"D","Dark",
"")</f>
        <v>Dark</v>
      </c>
      <c r="P181" t="str">
        <f>_xlfn.XLOOKUP(Orders[[#This Row],[Customer ID]],customers!$A$1:$A$1001,customers!$I$1:$I$1001,,0)</f>
        <v>No</v>
      </c>
    </row>
    <row r="182" spans="1:16" x14ac:dyDescent="0.35">
      <c r="A182" s="2" t="s">
        <v>1503</v>
      </c>
      <c r="B182" s="4">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_xlfn.XLOOKUP(D182,products!$A$1:$A$49,products!$B$1:$B$49,,0)</f>
        <v>Exc</v>
      </c>
      <c r="J182" t="str">
        <f>_xlfn.XLOOKUP(D182,products!$A$1:$A$49,products!$C$1:$C$49,,0)</f>
        <v>L</v>
      </c>
      <c r="K182" s="7">
        <f>_xlfn.XLOOKUP(D182,products!$A$1:$A$49,products!$D$1:$D$49,,0)</f>
        <v>0.2</v>
      </c>
      <c r="L182" s="9">
        <f>_xlfn.XLOOKUP(D182,products!$A$1:$A$49,products!$E$1:$E$49,,0)</f>
        <v>4.4550000000000001</v>
      </c>
      <c r="M182" s="9">
        <f t="shared" si="2"/>
        <v>22.274999999999999</v>
      </c>
      <c r="N182" s="3" t="str" cm="1">
        <f t="array" ref="N182">_xlfn.SWITCH(I182,
"Rob","Robusta",
"Exc","Excelsa",
"Ara","Arabica",
"Lib","Liberica",
"")</f>
        <v>Excelsa</v>
      </c>
      <c r="O182" t="str" cm="1">
        <f t="array" ref="O182">_xlfn.SWITCH(J182,
"M","Medium",
"L","Light",
"D","Dark",
"")</f>
        <v>Light</v>
      </c>
      <c r="P182" t="str">
        <f>_xlfn.XLOOKUP(Orders[[#This Row],[Customer ID]],customers!$A$1:$A$1001,customers!$I$1:$I$1001,,0)</f>
        <v>No</v>
      </c>
    </row>
    <row r="183" spans="1:16" x14ac:dyDescent="0.35">
      <c r="A183" s="2" t="s">
        <v>1503</v>
      </c>
      <c r="B183" s="4">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_xlfn.XLOOKUP(D183,products!$A$1:$A$49,products!$B$1:$B$49,,0)</f>
        <v>Ara</v>
      </c>
      <c r="J183" t="str">
        <f>_xlfn.XLOOKUP(D183,products!$A$1:$A$49,products!$C$1:$C$49,,0)</f>
        <v>D</v>
      </c>
      <c r="K183" s="7">
        <f>_xlfn.XLOOKUP(D183,products!$A$1:$A$49,products!$D$1:$D$49,,0)</f>
        <v>0.5</v>
      </c>
      <c r="L183" s="9">
        <f>_xlfn.XLOOKUP(D183,products!$A$1:$A$49,products!$E$1:$E$49,,0)</f>
        <v>5.97</v>
      </c>
      <c r="M183" s="9">
        <f t="shared" si="2"/>
        <v>29.849999999999998</v>
      </c>
      <c r="N183" s="3" t="str" cm="1">
        <f t="array" ref="N183">_xlfn.SWITCH(I183,
"Rob","Robusta",
"Exc","Excelsa",
"Ara","Arabica",
"Lib","Liberica",
"")</f>
        <v>Arabica</v>
      </c>
      <c r="O183" t="str" cm="1">
        <f t="array" ref="O183">_xlfn.SWITCH(J183,
"M","Medium",
"L","Light",
"D","Dark",
"")</f>
        <v>Dark</v>
      </c>
      <c r="P183" t="str">
        <f>_xlfn.XLOOKUP(Orders[[#This Row],[Customer ID]],customers!$A$1:$A$1001,customers!$I$1:$I$1001,,0)</f>
        <v>No</v>
      </c>
    </row>
    <row r="184" spans="1:16" x14ac:dyDescent="0.35">
      <c r="A184" s="2" t="s">
        <v>1514</v>
      </c>
      <c r="B184" s="4">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_xlfn.XLOOKUP(D184,products!$A$1:$A$49,products!$B$1:$B$49,,0)</f>
        <v>Rob</v>
      </c>
      <c r="J184" t="str">
        <f>_xlfn.XLOOKUP(D184,products!$A$1:$A$49,products!$C$1:$C$49,,0)</f>
        <v>D</v>
      </c>
      <c r="K184" s="7">
        <f>_xlfn.XLOOKUP(D184,products!$A$1:$A$49,products!$D$1:$D$49,,0)</f>
        <v>0.5</v>
      </c>
      <c r="L184" s="9">
        <f>_xlfn.XLOOKUP(D184,products!$A$1:$A$49,products!$E$1:$E$49,,0)</f>
        <v>5.3699999999999992</v>
      </c>
      <c r="M184" s="9">
        <f t="shared" si="2"/>
        <v>32.22</v>
      </c>
      <c r="N184" s="3" t="str" cm="1">
        <f t="array" ref="N184">_xlfn.SWITCH(I184,
"Rob","Robusta",
"Exc","Excelsa",
"Ara","Arabica",
"Lib","Liberica",
"")</f>
        <v>Robusta</v>
      </c>
      <c r="O184" t="str" cm="1">
        <f t="array" ref="O184">_xlfn.SWITCH(J184,
"M","Medium",
"L","Light",
"D","Dark",
"")</f>
        <v>Dark</v>
      </c>
      <c r="P184" t="str">
        <f>_xlfn.XLOOKUP(Orders[[#This Row],[Customer ID]],customers!$A$1:$A$1001,customers!$I$1:$I$1001,,0)</f>
        <v>No</v>
      </c>
    </row>
    <row r="185" spans="1:16" x14ac:dyDescent="0.35">
      <c r="A185" s="2" t="s">
        <v>1520</v>
      </c>
      <c r="B185" s="4">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_xlfn.XLOOKUP(D185,products!$A$1:$A$49,products!$B$1:$B$49,,0)</f>
        <v>Exc</v>
      </c>
      <c r="J185" t="str">
        <f>_xlfn.XLOOKUP(D185,products!$A$1:$A$49,products!$C$1:$C$49,,0)</f>
        <v>M</v>
      </c>
      <c r="K185" s="7">
        <f>_xlfn.XLOOKUP(D185,products!$A$1:$A$49,products!$D$1:$D$49,,0)</f>
        <v>0.2</v>
      </c>
      <c r="L185" s="9">
        <f>_xlfn.XLOOKUP(D185,products!$A$1:$A$49,products!$E$1:$E$49,,0)</f>
        <v>4.125</v>
      </c>
      <c r="M185" s="9">
        <f t="shared" si="2"/>
        <v>8.25</v>
      </c>
      <c r="N185" s="3" t="str" cm="1">
        <f t="array" ref="N185">_xlfn.SWITCH(I185,
"Rob","Robusta",
"Exc","Excelsa",
"Ara","Arabica",
"Lib","Liberica",
"")</f>
        <v>Excelsa</v>
      </c>
      <c r="O185" t="str" cm="1">
        <f t="array" ref="O185">_xlfn.SWITCH(J185,
"M","Medium",
"L","Light",
"D","Dark",
"")</f>
        <v>Medium</v>
      </c>
      <c r="P185" t="str">
        <f>_xlfn.XLOOKUP(Orders[[#This Row],[Customer ID]],customers!$A$1:$A$1001,customers!$I$1:$I$1001,,0)</f>
        <v>No</v>
      </c>
    </row>
    <row r="186" spans="1:16" x14ac:dyDescent="0.35">
      <c r="A186" s="2" t="s">
        <v>1526</v>
      </c>
      <c r="B186" s="4">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_xlfn.XLOOKUP(D186,products!$A$1:$A$49,products!$B$1:$B$49,,0)</f>
        <v>Ara</v>
      </c>
      <c r="J186" t="str">
        <f>_xlfn.XLOOKUP(D186,products!$A$1:$A$49,products!$C$1:$C$49,,0)</f>
        <v>L</v>
      </c>
      <c r="K186" s="7">
        <f>_xlfn.XLOOKUP(D186,products!$A$1:$A$49,products!$D$1:$D$49,,0)</f>
        <v>0.5</v>
      </c>
      <c r="L186" s="9">
        <f>_xlfn.XLOOKUP(D186,products!$A$1:$A$49,products!$E$1:$E$49,,0)</f>
        <v>7.77</v>
      </c>
      <c r="M186" s="9">
        <f t="shared" si="2"/>
        <v>31.08</v>
      </c>
      <c r="N186" s="3" t="str" cm="1">
        <f t="array" ref="N186">_xlfn.SWITCH(I186,
"Rob","Robusta",
"Exc","Excelsa",
"Ara","Arabica",
"Lib","Liberica",
"")</f>
        <v>Arabica</v>
      </c>
      <c r="O186" t="str" cm="1">
        <f t="array" ref="O186">_xlfn.SWITCH(J186,
"M","Medium",
"L","Light",
"D","Dark",
"")</f>
        <v>Light</v>
      </c>
      <c r="P186" t="str">
        <f>_xlfn.XLOOKUP(Orders[[#This Row],[Customer ID]],customers!$A$1:$A$1001,customers!$I$1:$I$1001,,0)</f>
        <v>No</v>
      </c>
    </row>
    <row r="187" spans="1:16" x14ac:dyDescent="0.35">
      <c r="A187" s="2" t="s">
        <v>1532</v>
      </c>
      <c r="B187" s="4">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_xlfn.XLOOKUP(D187,products!$A$1:$A$49,products!$B$1:$B$49,,0)</f>
        <v>Exc</v>
      </c>
      <c r="J187" t="str">
        <f>_xlfn.XLOOKUP(D187,products!$A$1:$A$49,products!$C$1:$C$49,,0)</f>
        <v>D</v>
      </c>
      <c r="K187" s="7">
        <f>_xlfn.XLOOKUP(D187,products!$A$1:$A$49,products!$D$1:$D$49,,0)</f>
        <v>0.5</v>
      </c>
      <c r="L187" s="9">
        <f>_xlfn.XLOOKUP(D187,products!$A$1:$A$49,products!$E$1:$E$49,,0)</f>
        <v>7.29</v>
      </c>
      <c r="M187" s="9">
        <f t="shared" si="2"/>
        <v>36.450000000000003</v>
      </c>
      <c r="N187" s="3" t="str" cm="1">
        <f t="array" ref="N187">_xlfn.SWITCH(I187,
"Rob","Robusta",
"Exc","Excelsa",
"Ara","Arabica",
"Lib","Liberica",
"")</f>
        <v>Excelsa</v>
      </c>
      <c r="O187" t="str" cm="1">
        <f t="array" ref="O187">_xlfn.SWITCH(J187,
"M","Medium",
"L","Light",
"D","Dark",
"")</f>
        <v>Dark</v>
      </c>
      <c r="P187" t="str">
        <f>_xlfn.XLOOKUP(Orders[[#This Row],[Customer ID]],customers!$A$1:$A$1001,customers!$I$1:$I$1001,,0)</f>
        <v>Yes</v>
      </c>
    </row>
    <row r="188" spans="1:16" x14ac:dyDescent="0.35">
      <c r="A188" s="2" t="s">
        <v>1538</v>
      </c>
      <c r="B188" s="4">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_xlfn.XLOOKUP(D188,products!$A$1:$A$49,products!$B$1:$B$49,,0)</f>
        <v>Rob</v>
      </c>
      <c r="J188" t="str">
        <f>_xlfn.XLOOKUP(D188,products!$A$1:$A$49,products!$C$1:$C$49,,0)</f>
        <v>M</v>
      </c>
      <c r="K188" s="7">
        <f>_xlfn.XLOOKUP(D188,products!$A$1:$A$49,products!$D$1:$D$49,,0)</f>
        <v>2.5</v>
      </c>
      <c r="L188" s="9">
        <f>_xlfn.XLOOKUP(D188,products!$A$1:$A$49,products!$E$1:$E$49,,0)</f>
        <v>22.884999999999998</v>
      </c>
      <c r="M188" s="9">
        <f t="shared" si="2"/>
        <v>68.655000000000001</v>
      </c>
      <c r="N188" s="3" t="str" cm="1">
        <f t="array" ref="N188">_xlfn.SWITCH(I188,
"Rob","Robusta",
"Exc","Excelsa",
"Ara","Arabica",
"Lib","Liberica",
"")</f>
        <v>Robusta</v>
      </c>
      <c r="O188" t="str" cm="1">
        <f t="array" ref="O188">_xlfn.SWITCH(J188,
"M","Medium",
"L","Light",
"D","Dark",
"")</f>
        <v>Medium</v>
      </c>
      <c r="P188" t="str">
        <f>_xlfn.XLOOKUP(Orders[[#This Row],[Customer ID]],customers!$A$1:$A$1001,customers!$I$1:$I$1001,,0)</f>
        <v>No</v>
      </c>
    </row>
    <row r="189" spans="1:16" x14ac:dyDescent="0.35">
      <c r="A189" s="2" t="s">
        <v>1544</v>
      </c>
      <c r="B189" s="4">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_xlfn.XLOOKUP(D189,products!$A$1:$A$49,products!$B$1:$B$49,,0)</f>
        <v>Lib</v>
      </c>
      <c r="J189" t="str">
        <f>_xlfn.XLOOKUP(D189,products!$A$1:$A$49,products!$C$1:$C$49,,0)</f>
        <v>M</v>
      </c>
      <c r="K189" s="7">
        <f>_xlfn.XLOOKUP(D189,products!$A$1:$A$49,products!$D$1:$D$49,,0)</f>
        <v>0.5</v>
      </c>
      <c r="L189" s="9">
        <f>_xlfn.XLOOKUP(D189,products!$A$1:$A$49,products!$E$1:$E$49,,0)</f>
        <v>8.73</v>
      </c>
      <c r="M189" s="9">
        <f t="shared" si="2"/>
        <v>43.650000000000006</v>
      </c>
      <c r="N189" s="3" t="str" cm="1">
        <f t="array" ref="N189">_xlfn.SWITCH(I189,
"Rob","Robusta",
"Exc","Excelsa",
"Ara","Arabica",
"Lib","Liberica",
"")</f>
        <v>Liberica</v>
      </c>
      <c r="O189" t="str" cm="1">
        <f t="array" ref="O189">_xlfn.SWITCH(J189,
"M","Medium",
"L","Light",
"D","Dark",
"")</f>
        <v>Medium</v>
      </c>
      <c r="P189" t="str">
        <f>_xlfn.XLOOKUP(Orders[[#This Row],[Customer ID]],customers!$A$1:$A$1001,customers!$I$1:$I$1001,,0)</f>
        <v>Yes</v>
      </c>
    </row>
    <row r="190" spans="1:16" x14ac:dyDescent="0.35">
      <c r="A190" s="2" t="s">
        <v>1549</v>
      </c>
      <c r="B190" s="4">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_xlfn.XLOOKUP(D190,products!$A$1:$A$49,products!$B$1:$B$49,,0)</f>
        <v>Exc</v>
      </c>
      <c r="J190" t="str">
        <f>_xlfn.XLOOKUP(D190,products!$A$1:$A$49,products!$C$1:$C$49,,0)</f>
        <v>L</v>
      </c>
      <c r="K190" s="7">
        <f>_xlfn.XLOOKUP(D190,products!$A$1:$A$49,products!$D$1:$D$49,,0)</f>
        <v>0.2</v>
      </c>
      <c r="L190" s="9">
        <f>_xlfn.XLOOKUP(D190,products!$A$1:$A$49,products!$E$1:$E$49,,0)</f>
        <v>4.4550000000000001</v>
      </c>
      <c r="M190" s="9">
        <f t="shared" si="2"/>
        <v>4.4550000000000001</v>
      </c>
      <c r="N190" s="3" t="str" cm="1">
        <f t="array" ref="N190">_xlfn.SWITCH(I190,
"Rob","Robusta",
"Exc","Excelsa",
"Ara","Arabica",
"Lib","Liberica",
"")</f>
        <v>Excelsa</v>
      </c>
      <c r="O190" t="str" cm="1">
        <f t="array" ref="O190">_xlfn.SWITCH(J190,
"M","Medium",
"L","Light",
"D","Dark",
"")</f>
        <v>Light</v>
      </c>
      <c r="P190" t="str">
        <f>_xlfn.XLOOKUP(Orders[[#This Row],[Customer ID]],customers!$A$1:$A$1001,customers!$I$1:$I$1001,,0)</f>
        <v>Yes</v>
      </c>
    </row>
    <row r="191" spans="1:16" x14ac:dyDescent="0.35">
      <c r="A191" s="2" t="s">
        <v>1555</v>
      </c>
      <c r="B191" s="4">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_xlfn.XLOOKUP(D191,products!$A$1:$A$49,products!$B$1:$B$49,,0)</f>
        <v>Lib</v>
      </c>
      <c r="J191" t="str">
        <f>_xlfn.XLOOKUP(D191,products!$A$1:$A$49,products!$C$1:$C$49,,0)</f>
        <v>M</v>
      </c>
      <c r="K191" s="7">
        <f>_xlfn.XLOOKUP(D191,products!$A$1:$A$49,products!$D$1:$D$49,,0)</f>
        <v>1</v>
      </c>
      <c r="L191" s="9">
        <f>_xlfn.XLOOKUP(D191,products!$A$1:$A$49,products!$E$1:$E$49,,0)</f>
        <v>14.55</v>
      </c>
      <c r="M191" s="9">
        <f t="shared" si="2"/>
        <v>43.650000000000006</v>
      </c>
      <c r="N191" s="3" t="str" cm="1">
        <f t="array" ref="N191">_xlfn.SWITCH(I191,
"Rob","Robusta",
"Exc","Excelsa",
"Ara","Arabica",
"Lib","Liberica",
"")</f>
        <v>Liberica</v>
      </c>
      <c r="O191" t="str" cm="1">
        <f t="array" ref="O191">_xlfn.SWITCH(J191,
"M","Medium",
"L","Light",
"D","Dark",
"")</f>
        <v>Medium</v>
      </c>
      <c r="P191" t="str">
        <f>_xlfn.XLOOKUP(Orders[[#This Row],[Customer ID]],customers!$A$1:$A$1001,customers!$I$1:$I$1001,,0)</f>
        <v>Yes</v>
      </c>
    </row>
    <row r="192" spans="1:16" x14ac:dyDescent="0.35">
      <c r="A192" s="2" t="s">
        <v>1561</v>
      </c>
      <c r="B192" s="4">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_xlfn.XLOOKUP(D192,products!$A$1:$A$49,products!$B$1:$B$49,,0)</f>
        <v>Lib</v>
      </c>
      <c r="J192" t="str">
        <f>_xlfn.XLOOKUP(D192,products!$A$1:$A$49,products!$C$1:$C$49,,0)</f>
        <v>M</v>
      </c>
      <c r="K192" s="7">
        <f>_xlfn.XLOOKUP(D192,products!$A$1:$A$49,products!$D$1:$D$49,,0)</f>
        <v>2.5</v>
      </c>
      <c r="L192" s="9">
        <f>_xlfn.XLOOKUP(D192,products!$A$1:$A$49,products!$E$1:$E$49,,0)</f>
        <v>33.464999999999996</v>
      </c>
      <c r="M192" s="9">
        <f t="shared" si="2"/>
        <v>33.464999999999996</v>
      </c>
      <c r="N192" s="3" t="str" cm="1">
        <f t="array" ref="N192">_xlfn.SWITCH(I192,
"Rob","Robusta",
"Exc","Excelsa",
"Ara","Arabica",
"Lib","Liberica",
"")</f>
        <v>Liberica</v>
      </c>
      <c r="O192" t="str" cm="1">
        <f t="array" ref="O192">_xlfn.SWITCH(J192,
"M","Medium",
"L","Light",
"D","Dark",
"")</f>
        <v>Medium</v>
      </c>
      <c r="P192" t="str">
        <f>_xlfn.XLOOKUP(Orders[[#This Row],[Customer ID]],customers!$A$1:$A$1001,customers!$I$1:$I$1001,,0)</f>
        <v>Yes</v>
      </c>
    </row>
    <row r="193" spans="1:16" x14ac:dyDescent="0.35">
      <c r="A193" s="2" t="s">
        <v>1567</v>
      </c>
      <c r="B193" s="4">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_xlfn.XLOOKUP(D193,products!$A$1:$A$49,products!$B$1:$B$49,,0)</f>
        <v>Lib</v>
      </c>
      <c r="J193" t="str">
        <f>_xlfn.XLOOKUP(D193,products!$A$1:$A$49,products!$C$1:$C$49,,0)</f>
        <v>D</v>
      </c>
      <c r="K193" s="7">
        <f>_xlfn.XLOOKUP(D193,products!$A$1:$A$49,products!$D$1:$D$49,,0)</f>
        <v>0.2</v>
      </c>
      <c r="L193" s="9">
        <f>_xlfn.XLOOKUP(D193,products!$A$1:$A$49,products!$E$1:$E$49,,0)</f>
        <v>3.8849999999999998</v>
      </c>
      <c r="M193" s="9">
        <f t="shared" si="2"/>
        <v>19.424999999999997</v>
      </c>
      <c r="N193" s="3" t="str" cm="1">
        <f t="array" ref="N193">_xlfn.SWITCH(I193,
"Rob","Robusta",
"Exc","Excelsa",
"Ara","Arabica",
"Lib","Liberica",
"")</f>
        <v>Liberica</v>
      </c>
      <c r="O193" t="str" cm="1">
        <f t="array" ref="O193">_xlfn.SWITCH(J193,
"M","Medium",
"L","Light",
"D","Dark",
"")</f>
        <v>Dark</v>
      </c>
      <c r="P193" t="str">
        <f>_xlfn.XLOOKUP(Orders[[#This Row],[Customer ID]],customers!$A$1:$A$1001,customers!$I$1:$I$1001,,0)</f>
        <v>Yes</v>
      </c>
    </row>
    <row r="194" spans="1:16" x14ac:dyDescent="0.35">
      <c r="A194" s="2" t="s">
        <v>1573</v>
      </c>
      <c r="B194" s="4">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_xlfn.XLOOKUP(D194,products!$A$1:$A$49,products!$B$1:$B$49,,0)</f>
        <v>Exc</v>
      </c>
      <c r="J194" t="str">
        <f>_xlfn.XLOOKUP(D194,products!$A$1:$A$49,products!$C$1:$C$49,,0)</f>
        <v>D</v>
      </c>
      <c r="K194" s="7">
        <f>_xlfn.XLOOKUP(D194,products!$A$1:$A$49,products!$D$1:$D$49,,0)</f>
        <v>1</v>
      </c>
      <c r="L194" s="9">
        <f>_xlfn.XLOOKUP(D194,products!$A$1:$A$49,products!$E$1:$E$49,,0)</f>
        <v>12.15</v>
      </c>
      <c r="M194" s="9">
        <f t="shared" si="2"/>
        <v>72.900000000000006</v>
      </c>
      <c r="N194" s="3" t="str" cm="1">
        <f t="array" ref="N194">_xlfn.SWITCH(I194,
"Rob","Robusta",
"Exc","Excelsa",
"Ara","Arabica",
"Lib","Liberica",
"")</f>
        <v>Excelsa</v>
      </c>
      <c r="O194" t="str" cm="1">
        <f t="array" ref="O194">_xlfn.SWITCH(J194,
"M","Medium",
"L","Light",
"D","Dark",
"")</f>
        <v>Dark</v>
      </c>
      <c r="P194" t="str">
        <f>_xlfn.XLOOKUP(Orders[[#This Row],[Customer ID]],customers!$A$1:$A$1001,customers!$I$1:$I$1001,,0)</f>
        <v>Yes</v>
      </c>
    </row>
    <row r="195" spans="1:16" x14ac:dyDescent="0.35">
      <c r="A195" s="2" t="s">
        <v>1579</v>
      </c>
      <c r="B195" s="4">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_xlfn.XLOOKUP(D195,products!$A$1:$A$49,products!$B$1:$B$49,,0)</f>
        <v>Exc</v>
      </c>
      <c r="J195" t="str">
        <f>_xlfn.XLOOKUP(D195,products!$A$1:$A$49,products!$C$1:$C$49,,0)</f>
        <v>L</v>
      </c>
      <c r="K195" s="7">
        <f>_xlfn.XLOOKUP(D195,products!$A$1:$A$49,products!$D$1:$D$49,,0)</f>
        <v>1</v>
      </c>
      <c r="L195" s="9">
        <f>_xlfn.XLOOKUP(D195,products!$A$1:$A$49,products!$E$1:$E$49,,0)</f>
        <v>14.85</v>
      </c>
      <c r="M195" s="9">
        <f t="shared" ref="M195:M258" si="3">L195*E195</f>
        <v>44.55</v>
      </c>
      <c r="N195" s="3" t="str" cm="1">
        <f t="array" ref="N195">_xlfn.SWITCH(I195,
"Rob","Robusta",
"Exc","Excelsa",
"Ara","Arabica",
"Lib","Liberica",
"")</f>
        <v>Excelsa</v>
      </c>
      <c r="O195" t="str" cm="1">
        <f t="array" ref="O195">_xlfn.SWITCH(J195,
"M","Medium",
"L","Light",
"D","Dark",
"")</f>
        <v>Light</v>
      </c>
      <c r="P195" t="str">
        <f>_xlfn.XLOOKUP(Orders[[#This Row],[Customer ID]],customers!$A$1:$A$1001,customers!$I$1:$I$1001,,0)</f>
        <v>No</v>
      </c>
    </row>
    <row r="196" spans="1:16" x14ac:dyDescent="0.35">
      <c r="A196" s="2" t="s">
        <v>1584</v>
      </c>
      <c r="B196" s="4">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_xlfn.XLOOKUP(D196,products!$A$1:$A$49,products!$B$1:$B$49,,0)</f>
        <v>Exc</v>
      </c>
      <c r="J196" t="str">
        <f>_xlfn.XLOOKUP(D196,products!$A$1:$A$49,products!$C$1:$C$49,,0)</f>
        <v>D</v>
      </c>
      <c r="K196" s="7">
        <f>_xlfn.XLOOKUP(D196,products!$A$1:$A$49,products!$D$1:$D$49,,0)</f>
        <v>0.5</v>
      </c>
      <c r="L196" s="9">
        <f>_xlfn.XLOOKUP(D196,products!$A$1:$A$49,products!$E$1:$E$49,,0)</f>
        <v>7.29</v>
      </c>
      <c r="M196" s="9">
        <f t="shared" si="3"/>
        <v>36.450000000000003</v>
      </c>
      <c r="N196" s="3" t="str" cm="1">
        <f t="array" ref="N196">_xlfn.SWITCH(I196,
"Rob","Robusta",
"Exc","Excelsa",
"Ara","Arabica",
"Lib","Liberica",
"")</f>
        <v>Excelsa</v>
      </c>
      <c r="O196" t="str" cm="1">
        <f t="array" ref="O196">_xlfn.SWITCH(J196,
"M","Medium",
"L","Light",
"D","Dark",
"")</f>
        <v>Dark</v>
      </c>
      <c r="P196" t="str">
        <f>_xlfn.XLOOKUP(Orders[[#This Row],[Customer ID]],customers!$A$1:$A$1001,customers!$I$1:$I$1001,,0)</f>
        <v>No</v>
      </c>
    </row>
    <row r="197" spans="1:16" x14ac:dyDescent="0.35">
      <c r="A197" s="2" t="s">
        <v>1590</v>
      </c>
      <c r="B197" s="4">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_xlfn.XLOOKUP(D197,products!$A$1:$A$49,products!$B$1:$B$49,,0)</f>
        <v>Ara</v>
      </c>
      <c r="J197" t="str">
        <f>_xlfn.XLOOKUP(D197,products!$A$1:$A$49,products!$C$1:$C$49,,0)</f>
        <v>L</v>
      </c>
      <c r="K197" s="7">
        <f>_xlfn.XLOOKUP(D197,products!$A$1:$A$49,products!$D$1:$D$49,,0)</f>
        <v>1</v>
      </c>
      <c r="L197" s="9">
        <f>_xlfn.XLOOKUP(D197,products!$A$1:$A$49,products!$E$1:$E$49,,0)</f>
        <v>12.95</v>
      </c>
      <c r="M197" s="9">
        <f t="shared" si="3"/>
        <v>38.849999999999994</v>
      </c>
      <c r="N197" s="3" t="str" cm="1">
        <f t="array" ref="N197">_xlfn.SWITCH(I197,
"Rob","Robusta",
"Exc","Excelsa",
"Ara","Arabica",
"Lib","Liberica",
"")</f>
        <v>Arabica</v>
      </c>
      <c r="O197" t="str" cm="1">
        <f t="array" ref="O197">_xlfn.SWITCH(J197,
"M","Medium",
"L","Light",
"D","Dark",
"")</f>
        <v>Light</v>
      </c>
      <c r="P197" t="str">
        <f>_xlfn.XLOOKUP(Orders[[#This Row],[Customer ID]],customers!$A$1:$A$1001,customers!$I$1:$I$1001,,0)</f>
        <v>No</v>
      </c>
    </row>
    <row r="198" spans="1:16" x14ac:dyDescent="0.35">
      <c r="A198" s="2" t="s">
        <v>1596</v>
      </c>
      <c r="B198" s="4">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_xlfn.XLOOKUP(D198,products!$A$1:$A$49,products!$B$1:$B$49,,0)</f>
        <v>Exc</v>
      </c>
      <c r="J198" t="str">
        <f>_xlfn.XLOOKUP(D198,products!$A$1:$A$49,products!$C$1:$C$49,,0)</f>
        <v>L</v>
      </c>
      <c r="K198" s="7">
        <f>_xlfn.XLOOKUP(D198,products!$A$1:$A$49,products!$D$1:$D$49,,0)</f>
        <v>0.5</v>
      </c>
      <c r="L198" s="9">
        <f>_xlfn.XLOOKUP(D198,products!$A$1:$A$49,products!$E$1:$E$49,,0)</f>
        <v>8.91</v>
      </c>
      <c r="M198" s="9">
        <f t="shared" si="3"/>
        <v>53.46</v>
      </c>
      <c r="N198" s="3" t="str" cm="1">
        <f t="array" ref="N198">_xlfn.SWITCH(I198,
"Rob","Robusta",
"Exc","Excelsa",
"Ara","Arabica",
"Lib","Liberica",
"")</f>
        <v>Excelsa</v>
      </c>
      <c r="O198" t="str" cm="1">
        <f t="array" ref="O198">_xlfn.SWITCH(J198,
"M","Medium",
"L","Light",
"D","Dark",
"")</f>
        <v>Light</v>
      </c>
      <c r="P198" t="str">
        <f>_xlfn.XLOOKUP(Orders[[#This Row],[Customer ID]],customers!$A$1:$A$1001,customers!$I$1:$I$1001,,0)</f>
        <v>No</v>
      </c>
    </row>
    <row r="199" spans="1:16" x14ac:dyDescent="0.35">
      <c r="A199" s="2" t="s">
        <v>1596</v>
      </c>
      <c r="B199" s="4">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_xlfn.XLOOKUP(D199,products!$A$1:$A$49,products!$B$1:$B$49,,0)</f>
        <v>Lib</v>
      </c>
      <c r="J199" t="str">
        <f>_xlfn.XLOOKUP(D199,products!$A$1:$A$49,products!$C$1:$C$49,,0)</f>
        <v>D</v>
      </c>
      <c r="K199" s="7">
        <f>_xlfn.XLOOKUP(D199,products!$A$1:$A$49,products!$D$1:$D$49,,0)</f>
        <v>2.5</v>
      </c>
      <c r="L199" s="9">
        <f>_xlfn.XLOOKUP(D199,products!$A$1:$A$49,products!$E$1:$E$49,,0)</f>
        <v>29.784999999999997</v>
      </c>
      <c r="M199" s="9">
        <f t="shared" si="3"/>
        <v>59.569999999999993</v>
      </c>
      <c r="N199" s="3" t="str" cm="1">
        <f t="array" ref="N199">_xlfn.SWITCH(I199,
"Rob","Robusta",
"Exc","Excelsa",
"Ara","Arabica",
"Lib","Liberica",
"")</f>
        <v>Liberica</v>
      </c>
      <c r="O199" t="str" cm="1">
        <f t="array" ref="O199">_xlfn.SWITCH(J199,
"M","Medium",
"L","Light",
"D","Dark",
"")</f>
        <v>Dark</v>
      </c>
      <c r="P199" t="str">
        <f>_xlfn.XLOOKUP(Orders[[#This Row],[Customer ID]],customers!$A$1:$A$1001,customers!$I$1:$I$1001,,0)</f>
        <v>No</v>
      </c>
    </row>
    <row r="200" spans="1:16" x14ac:dyDescent="0.35">
      <c r="A200" s="2" t="s">
        <v>1596</v>
      </c>
      <c r="B200" s="4">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_xlfn.XLOOKUP(D200,products!$A$1:$A$49,products!$B$1:$B$49,,0)</f>
        <v>Lib</v>
      </c>
      <c r="J200" t="str">
        <f>_xlfn.XLOOKUP(D200,products!$A$1:$A$49,products!$C$1:$C$49,,0)</f>
        <v>D</v>
      </c>
      <c r="K200" s="7">
        <f>_xlfn.XLOOKUP(D200,products!$A$1:$A$49,products!$D$1:$D$49,,0)</f>
        <v>2.5</v>
      </c>
      <c r="L200" s="9">
        <f>_xlfn.XLOOKUP(D200,products!$A$1:$A$49,products!$E$1:$E$49,,0)</f>
        <v>29.784999999999997</v>
      </c>
      <c r="M200" s="9">
        <f t="shared" si="3"/>
        <v>89.35499999999999</v>
      </c>
      <c r="N200" s="3" t="str" cm="1">
        <f t="array" ref="N200">_xlfn.SWITCH(I200,
"Rob","Robusta",
"Exc","Excelsa",
"Ara","Arabica",
"Lib","Liberica",
"")</f>
        <v>Liberica</v>
      </c>
      <c r="O200" t="str" cm="1">
        <f t="array" ref="O200">_xlfn.SWITCH(J200,
"M","Medium",
"L","Light",
"D","Dark",
"")</f>
        <v>Dark</v>
      </c>
      <c r="P200" t="str">
        <f>_xlfn.XLOOKUP(Orders[[#This Row],[Customer ID]],customers!$A$1:$A$1001,customers!$I$1:$I$1001,,0)</f>
        <v>No</v>
      </c>
    </row>
    <row r="201" spans="1:16" x14ac:dyDescent="0.35">
      <c r="A201" s="2" t="s">
        <v>1596</v>
      </c>
      <c r="B201" s="4">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_xlfn.XLOOKUP(D201,products!$A$1:$A$49,products!$B$1:$B$49,,0)</f>
        <v>Lib</v>
      </c>
      <c r="J201" t="str">
        <f>_xlfn.XLOOKUP(D201,products!$A$1:$A$49,products!$C$1:$C$49,,0)</f>
        <v>L</v>
      </c>
      <c r="K201" s="7">
        <f>_xlfn.XLOOKUP(D201,products!$A$1:$A$49,products!$D$1:$D$49,,0)</f>
        <v>0.5</v>
      </c>
      <c r="L201" s="9">
        <f>_xlfn.XLOOKUP(D201,products!$A$1:$A$49,products!$E$1:$E$49,,0)</f>
        <v>9.51</v>
      </c>
      <c r="M201" s="9">
        <f t="shared" si="3"/>
        <v>38.04</v>
      </c>
      <c r="N201" s="3" t="str" cm="1">
        <f t="array" ref="N201">_xlfn.SWITCH(I201,
"Rob","Robusta",
"Exc","Excelsa",
"Ara","Arabica",
"Lib","Liberica",
"")</f>
        <v>Liberica</v>
      </c>
      <c r="O201" t="str" cm="1">
        <f t="array" ref="O201">_xlfn.SWITCH(J201,
"M","Medium",
"L","Light",
"D","Dark",
"")</f>
        <v>Light</v>
      </c>
      <c r="P201" t="str">
        <f>_xlfn.XLOOKUP(Orders[[#This Row],[Customer ID]],customers!$A$1:$A$1001,customers!$I$1:$I$1001,,0)</f>
        <v>No</v>
      </c>
    </row>
    <row r="202" spans="1:16" x14ac:dyDescent="0.35">
      <c r="A202" s="2" t="s">
        <v>1596</v>
      </c>
      <c r="B202" s="4">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_xlfn.XLOOKUP(D202,products!$A$1:$A$49,products!$B$1:$B$49,,0)</f>
        <v>Exc</v>
      </c>
      <c r="J202" t="str">
        <f>_xlfn.XLOOKUP(D202,products!$A$1:$A$49,products!$C$1:$C$49,,0)</f>
        <v>M</v>
      </c>
      <c r="K202" s="7">
        <f>_xlfn.XLOOKUP(D202,products!$A$1:$A$49,products!$D$1:$D$49,,0)</f>
        <v>1</v>
      </c>
      <c r="L202" s="9">
        <f>_xlfn.XLOOKUP(D202,products!$A$1:$A$49,products!$E$1:$E$49,,0)</f>
        <v>13.75</v>
      </c>
      <c r="M202" s="9">
        <f t="shared" si="3"/>
        <v>41.25</v>
      </c>
      <c r="N202" s="3" t="str" cm="1">
        <f t="array" ref="N202">_xlfn.SWITCH(I202,
"Rob","Robusta",
"Exc","Excelsa",
"Ara","Arabica",
"Lib","Liberica",
"")</f>
        <v>Excelsa</v>
      </c>
      <c r="O202" t="str" cm="1">
        <f t="array" ref="O202">_xlfn.SWITCH(J202,
"M","Medium",
"L","Light",
"D","Dark",
"")</f>
        <v>Medium</v>
      </c>
      <c r="P202" t="str">
        <f>_xlfn.XLOOKUP(Orders[[#This Row],[Customer ID]],customers!$A$1:$A$1001,customers!$I$1:$I$1001,,0)</f>
        <v>No</v>
      </c>
    </row>
    <row r="203" spans="1:16" x14ac:dyDescent="0.35">
      <c r="A203" s="2" t="s">
        <v>1621</v>
      </c>
      <c r="B203" s="4">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_xlfn.XLOOKUP(D203,products!$A$1:$A$49,products!$B$1:$B$49,,0)</f>
        <v>Lib</v>
      </c>
      <c r="J203" t="str">
        <f>_xlfn.XLOOKUP(D203,products!$A$1:$A$49,products!$C$1:$C$49,,0)</f>
        <v>L</v>
      </c>
      <c r="K203" s="7">
        <f>_xlfn.XLOOKUP(D203,products!$A$1:$A$49,products!$D$1:$D$49,,0)</f>
        <v>0.5</v>
      </c>
      <c r="L203" s="9">
        <f>_xlfn.XLOOKUP(D203,products!$A$1:$A$49,products!$E$1:$E$49,,0)</f>
        <v>9.51</v>
      </c>
      <c r="M203" s="9">
        <f t="shared" si="3"/>
        <v>57.06</v>
      </c>
      <c r="N203" s="3" t="str" cm="1">
        <f t="array" ref="N203">_xlfn.SWITCH(I203,
"Rob","Robusta",
"Exc","Excelsa",
"Ara","Arabica",
"Lib","Liberica",
"")</f>
        <v>Liberica</v>
      </c>
      <c r="O203" t="str" cm="1">
        <f t="array" ref="O203">_xlfn.SWITCH(J203,
"M","Medium",
"L","Light",
"D","Dark",
"")</f>
        <v>Light</v>
      </c>
      <c r="P203" t="str">
        <f>_xlfn.XLOOKUP(Orders[[#This Row],[Customer ID]],customers!$A$1:$A$1001,customers!$I$1:$I$1001,,0)</f>
        <v>No</v>
      </c>
    </row>
    <row r="204" spans="1:16" x14ac:dyDescent="0.35">
      <c r="A204" s="2" t="s">
        <v>1626</v>
      </c>
      <c r="B204" s="4">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_xlfn.XLOOKUP(D204,products!$A$1:$A$49,products!$B$1:$B$49,,0)</f>
        <v>Lib</v>
      </c>
      <c r="J204" t="str">
        <f>_xlfn.XLOOKUP(D204,products!$A$1:$A$49,products!$C$1:$C$49,,0)</f>
        <v>D</v>
      </c>
      <c r="K204" s="7">
        <f>_xlfn.XLOOKUP(D204,products!$A$1:$A$49,products!$D$1:$D$49,,0)</f>
        <v>2.5</v>
      </c>
      <c r="L204" s="9">
        <f>_xlfn.XLOOKUP(D204,products!$A$1:$A$49,products!$E$1:$E$49,,0)</f>
        <v>29.784999999999997</v>
      </c>
      <c r="M204" s="9">
        <f t="shared" si="3"/>
        <v>178.70999999999998</v>
      </c>
      <c r="N204" s="3" t="str" cm="1">
        <f t="array" ref="N204">_xlfn.SWITCH(I204,
"Rob","Robusta",
"Exc","Excelsa",
"Ara","Arabica",
"Lib","Liberica",
"")</f>
        <v>Liberica</v>
      </c>
      <c r="O204" t="str" cm="1">
        <f t="array" ref="O204">_xlfn.SWITCH(J204,
"M","Medium",
"L","Light",
"D","Dark",
"")</f>
        <v>Dark</v>
      </c>
      <c r="P204" t="str">
        <f>_xlfn.XLOOKUP(Orders[[#This Row],[Customer ID]],customers!$A$1:$A$1001,customers!$I$1:$I$1001,,0)</f>
        <v>Yes</v>
      </c>
    </row>
    <row r="205" spans="1:16" x14ac:dyDescent="0.35">
      <c r="A205" s="2" t="s">
        <v>1632</v>
      </c>
      <c r="B205" s="4">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_xlfn.XLOOKUP(D205,products!$A$1:$A$49,products!$B$1:$B$49,,0)</f>
        <v>Lib</v>
      </c>
      <c r="J205" t="str">
        <f>_xlfn.XLOOKUP(D205,products!$A$1:$A$49,products!$C$1:$C$49,,0)</f>
        <v>L</v>
      </c>
      <c r="K205" s="7">
        <f>_xlfn.XLOOKUP(D205,products!$A$1:$A$49,products!$D$1:$D$49,,0)</f>
        <v>0.2</v>
      </c>
      <c r="L205" s="9">
        <f>_xlfn.XLOOKUP(D205,products!$A$1:$A$49,products!$E$1:$E$49,,0)</f>
        <v>4.7549999999999999</v>
      </c>
      <c r="M205" s="9">
        <f t="shared" si="3"/>
        <v>4.7549999999999999</v>
      </c>
      <c r="N205" s="3" t="str" cm="1">
        <f t="array" ref="N205">_xlfn.SWITCH(I205,
"Rob","Robusta",
"Exc","Excelsa",
"Ara","Arabica",
"Lib","Liberica",
"")</f>
        <v>Liberica</v>
      </c>
      <c r="O205" t="str" cm="1">
        <f t="array" ref="O205">_xlfn.SWITCH(J205,
"M","Medium",
"L","Light",
"D","Dark",
"")</f>
        <v>Light</v>
      </c>
      <c r="P205" t="str">
        <f>_xlfn.XLOOKUP(Orders[[#This Row],[Customer ID]],customers!$A$1:$A$1001,customers!$I$1:$I$1001,,0)</f>
        <v>No</v>
      </c>
    </row>
    <row r="206" spans="1:16" x14ac:dyDescent="0.35">
      <c r="A206" s="2" t="s">
        <v>1638</v>
      </c>
      <c r="B206" s="4">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_xlfn.XLOOKUP(D206,products!$A$1:$A$49,products!$B$1:$B$49,,0)</f>
        <v>Exc</v>
      </c>
      <c r="J206" t="str">
        <f>_xlfn.XLOOKUP(D206,products!$A$1:$A$49,products!$C$1:$C$49,,0)</f>
        <v>M</v>
      </c>
      <c r="K206" s="7">
        <f>_xlfn.XLOOKUP(D206,products!$A$1:$A$49,products!$D$1:$D$49,,0)</f>
        <v>1</v>
      </c>
      <c r="L206" s="9">
        <f>_xlfn.XLOOKUP(D206,products!$A$1:$A$49,products!$E$1:$E$49,,0)</f>
        <v>13.75</v>
      </c>
      <c r="M206" s="9">
        <f t="shared" si="3"/>
        <v>82.5</v>
      </c>
      <c r="N206" s="3" t="str" cm="1">
        <f t="array" ref="N206">_xlfn.SWITCH(I206,
"Rob","Robusta",
"Exc","Excelsa",
"Ara","Arabica",
"Lib","Liberica",
"")</f>
        <v>Excelsa</v>
      </c>
      <c r="O206" t="str" cm="1">
        <f t="array" ref="O206">_xlfn.SWITCH(J206,
"M","Medium",
"L","Light",
"D","Dark",
"")</f>
        <v>Medium</v>
      </c>
      <c r="P206" t="str">
        <f>_xlfn.XLOOKUP(Orders[[#This Row],[Customer ID]],customers!$A$1:$A$1001,customers!$I$1:$I$1001,,0)</f>
        <v>No</v>
      </c>
    </row>
    <row r="207" spans="1:16" x14ac:dyDescent="0.35">
      <c r="A207" s="2" t="s">
        <v>1643</v>
      </c>
      <c r="B207" s="4">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_xlfn.XLOOKUP(D207,products!$A$1:$A$49,products!$B$1:$B$49,,0)</f>
        <v>Rob</v>
      </c>
      <c r="J207" t="str">
        <f>_xlfn.XLOOKUP(D207,products!$A$1:$A$49,products!$C$1:$C$49,,0)</f>
        <v>D</v>
      </c>
      <c r="K207" s="7">
        <f>_xlfn.XLOOKUP(D207,products!$A$1:$A$49,products!$D$1:$D$49,,0)</f>
        <v>0.2</v>
      </c>
      <c r="L207" s="9">
        <f>_xlfn.XLOOKUP(D207,products!$A$1:$A$49,products!$E$1:$E$49,,0)</f>
        <v>2.6849999999999996</v>
      </c>
      <c r="M207" s="9">
        <f t="shared" si="3"/>
        <v>8.0549999999999997</v>
      </c>
      <c r="N207" s="3" t="str" cm="1">
        <f t="array" ref="N207">_xlfn.SWITCH(I207,
"Rob","Robusta",
"Exc","Excelsa",
"Ara","Arabica",
"Lib","Liberica",
"")</f>
        <v>Robusta</v>
      </c>
      <c r="O207" t="str" cm="1">
        <f t="array" ref="O207">_xlfn.SWITCH(J207,
"M","Medium",
"L","Light",
"D","Dark",
"")</f>
        <v>Dark</v>
      </c>
      <c r="P207" t="str">
        <f>_xlfn.XLOOKUP(Orders[[#This Row],[Customer ID]],customers!$A$1:$A$1001,customers!$I$1:$I$1001,,0)</f>
        <v>Yes</v>
      </c>
    </row>
    <row r="208" spans="1:16" x14ac:dyDescent="0.35">
      <c r="A208" s="2" t="s">
        <v>1648</v>
      </c>
      <c r="B208" s="4">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_xlfn.XLOOKUP(D208,products!$A$1:$A$49,products!$B$1:$B$49,,0)</f>
        <v>Ara</v>
      </c>
      <c r="J208" t="str">
        <f>_xlfn.XLOOKUP(D208,products!$A$1:$A$49,products!$C$1:$C$49,,0)</f>
        <v>M</v>
      </c>
      <c r="K208" s="7">
        <f>_xlfn.XLOOKUP(D208,products!$A$1:$A$49,products!$D$1:$D$49,,0)</f>
        <v>1</v>
      </c>
      <c r="L208" s="9">
        <f>_xlfn.XLOOKUP(D208,products!$A$1:$A$49,products!$E$1:$E$49,,0)</f>
        <v>11.25</v>
      </c>
      <c r="M208" s="9">
        <f t="shared" si="3"/>
        <v>22.5</v>
      </c>
      <c r="N208" s="3" t="str" cm="1">
        <f t="array" ref="N208">_xlfn.SWITCH(I208,
"Rob","Robusta",
"Exc","Excelsa",
"Ara","Arabica",
"Lib","Liberica",
"")</f>
        <v>Arabica</v>
      </c>
      <c r="O208" t="str" cm="1">
        <f t="array" ref="O208">_xlfn.SWITCH(J208,
"M","Medium",
"L","Light",
"D","Dark",
"")</f>
        <v>Medium</v>
      </c>
      <c r="P208" t="str">
        <f>_xlfn.XLOOKUP(Orders[[#This Row],[Customer ID]],customers!$A$1:$A$1001,customers!$I$1:$I$1001,,0)</f>
        <v>No</v>
      </c>
    </row>
    <row r="209" spans="1:16" x14ac:dyDescent="0.35">
      <c r="A209" s="2" t="s">
        <v>1653</v>
      </c>
      <c r="B209" s="4">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_xlfn.XLOOKUP(D209,products!$A$1:$A$49,products!$B$1:$B$49,,0)</f>
        <v>Ara</v>
      </c>
      <c r="J209" t="str">
        <f>_xlfn.XLOOKUP(D209,products!$A$1:$A$49,products!$C$1:$C$49,,0)</f>
        <v>M</v>
      </c>
      <c r="K209" s="7">
        <f>_xlfn.XLOOKUP(D209,products!$A$1:$A$49,products!$D$1:$D$49,,0)</f>
        <v>0.5</v>
      </c>
      <c r="L209" s="9">
        <f>_xlfn.XLOOKUP(D209,products!$A$1:$A$49,products!$E$1:$E$49,,0)</f>
        <v>6.75</v>
      </c>
      <c r="M209" s="9">
        <f t="shared" si="3"/>
        <v>40.5</v>
      </c>
      <c r="N209" s="3" t="str" cm="1">
        <f t="array" ref="N209">_xlfn.SWITCH(I209,
"Rob","Robusta",
"Exc","Excelsa",
"Ara","Arabica",
"Lib","Liberica",
"")</f>
        <v>Arabica</v>
      </c>
      <c r="O209" t="str" cm="1">
        <f t="array" ref="O209">_xlfn.SWITCH(J209,
"M","Medium",
"L","Light",
"D","Dark",
"")</f>
        <v>Medium</v>
      </c>
      <c r="P209" t="str">
        <f>_xlfn.XLOOKUP(Orders[[#This Row],[Customer ID]],customers!$A$1:$A$1001,customers!$I$1:$I$1001,,0)</f>
        <v>Yes</v>
      </c>
    </row>
    <row r="210" spans="1:16" x14ac:dyDescent="0.35">
      <c r="A210" s="2" t="s">
        <v>1659</v>
      </c>
      <c r="B210" s="4">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_xlfn.XLOOKUP(D210,products!$A$1:$A$49,products!$B$1:$B$49,,0)</f>
        <v>Exc</v>
      </c>
      <c r="J210" t="str">
        <f>_xlfn.XLOOKUP(D210,products!$A$1:$A$49,products!$C$1:$C$49,,0)</f>
        <v>D</v>
      </c>
      <c r="K210" s="7">
        <f>_xlfn.XLOOKUP(D210,products!$A$1:$A$49,products!$D$1:$D$49,,0)</f>
        <v>0.5</v>
      </c>
      <c r="L210" s="9">
        <f>_xlfn.XLOOKUP(D210,products!$A$1:$A$49,products!$E$1:$E$49,,0)</f>
        <v>7.29</v>
      </c>
      <c r="M210" s="9">
        <f t="shared" si="3"/>
        <v>29.16</v>
      </c>
      <c r="N210" s="3" t="str" cm="1">
        <f t="array" ref="N210">_xlfn.SWITCH(I210,
"Rob","Robusta",
"Exc","Excelsa",
"Ara","Arabica",
"Lib","Liberica",
"")</f>
        <v>Excelsa</v>
      </c>
      <c r="O210" t="str" cm="1">
        <f t="array" ref="O210">_xlfn.SWITCH(J210,
"M","Medium",
"L","Light",
"D","Dark",
"")</f>
        <v>Dark</v>
      </c>
      <c r="P210" t="str">
        <f>_xlfn.XLOOKUP(Orders[[#This Row],[Customer ID]],customers!$A$1:$A$1001,customers!$I$1:$I$1001,,0)</f>
        <v>Yes</v>
      </c>
    </row>
    <row r="211" spans="1:16" x14ac:dyDescent="0.35">
      <c r="A211" s="2" t="s">
        <v>1665</v>
      </c>
      <c r="B211" s="4">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_xlfn.XLOOKUP(D211,products!$A$1:$A$49,products!$B$1:$B$49,,0)</f>
        <v>Ara</v>
      </c>
      <c r="J211" t="str">
        <f>_xlfn.XLOOKUP(D211,products!$A$1:$A$49,products!$C$1:$C$49,,0)</f>
        <v>M</v>
      </c>
      <c r="K211" s="7">
        <f>_xlfn.XLOOKUP(D211,products!$A$1:$A$49,products!$D$1:$D$49,,0)</f>
        <v>0.5</v>
      </c>
      <c r="L211" s="9">
        <f>_xlfn.XLOOKUP(D211,products!$A$1:$A$49,products!$E$1:$E$49,,0)</f>
        <v>6.75</v>
      </c>
      <c r="M211" s="9">
        <f t="shared" si="3"/>
        <v>6.75</v>
      </c>
      <c r="N211" s="3" t="str" cm="1">
        <f t="array" ref="N211">_xlfn.SWITCH(I211,
"Rob","Robusta",
"Exc","Excelsa",
"Ara","Arabica",
"Lib","Liberica",
"")</f>
        <v>Arabica</v>
      </c>
      <c r="O211" t="str" cm="1">
        <f t="array" ref="O211">_xlfn.SWITCH(J211,
"M","Medium",
"L","Light",
"D","Dark",
"")</f>
        <v>Medium</v>
      </c>
      <c r="P211" t="str">
        <f>_xlfn.XLOOKUP(Orders[[#This Row],[Customer ID]],customers!$A$1:$A$1001,customers!$I$1:$I$1001,,0)</f>
        <v>No</v>
      </c>
    </row>
    <row r="212" spans="1:16" x14ac:dyDescent="0.35">
      <c r="A212" s="2" t="s">
        <v>1671</v>
      </c>
      <c r="B212" s="4">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_xlfn.XLOOKUP(D212,products!$A$1:$A$49,products!$B$1:$B$49,,0)</f>
        <v>Lib</v>
      </c>
      <c r="J212" t="str">
        <f>_xlfn.XLOOKUP(D212,products!$A$1:$A$49,products!$C$1:$C$49,,0)</f>
        <v>D</v>
      </c>
      <c r="K212" s="7">
        <f>_xlfn.XLOOKUP(D212,products!$A$1:$A$49,products!$D$1:$D$49,,0)</f>
        <v>1</v>
      </c>
      <c r="L212" s="9">
        <f>_xlfn.XLOOKUP(D212,products!$A$1:$A$49,products!$E$1:$E$49,,0)</f>
        <v>12.95</v>
      </c>
      <c r="M212" s="9">
        <f t="shared" si="3"/>
        <v>51.8</v>
      </c>
      <c r="N212" s="3" t="str" cm="1">
        <f t="array" ref="N212">_xlfn.SWITCH(I212,
"Rob","Robusta",
"Exc","Excelsa",
"Ara","Arabica",
"Lib","Liberica",
"")</f>
        <v>Liberica</v>
      </c>
      <c r="O212" t="str" cm="1">
        <f t="array" ref="O212">_xlfn.SWITCH(J212,
"M","Medium",
"L","Light",
"D","Dark",
"")</f>
        <v>Dark</v>
      </c>
      <c r="P212" t="str">
        <f>_xlfn.XLOOKUP(Orders[[#This Row],[Customer ID]],customers!$A$1:$A$1001,customers!$I$1:$I$1001,,0)</f>
        <v>Yes</v>
      </c>
    </row>
    <row r="213" spans="1:16" x14ac:dyDescent="0.35">
      <c r="A213" s="2" t="s">
        <v>1677</v>
      </c>
      <c r="B213" s="4">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_xlfn.XLOOKUP(D213,products!$A$1:$A$49,products!$B$1:$B$49,,0)</f>
        <v>Exc</v>
      </c>
      <c r="J213" t="str">
        <f>_xlfn.XLOOKUP(D213,products!$A$1:$A$49,products!$C$1:$C$49,,0)</f>
        <v>L</v>
      </c>
      <c r="K213" s="7">
        <f>_xlfn.XLOOKUP(D213,products!$A$1:$A$49,products!$D$1:$D$49,,0)</f>
        <v>0.5</v>
      </c>
      <c r="L213" s="9">
        <f>_xlfn.XLOOKUP(D213,products!$A$1:$A$49,products!$E$1:$E$49,,0)</f>
        <v>8.91</v>
      </c>
      <c r="M213" s="9">
        <f t="shared" si="3"/>
        <v>53.46</v>
      </c>
      <c r="N213" s="3" t="str" cm="1">
        <f t="array" ref="N213">_xlfn.SWITCH(I213,
"Rob","Robusta",
"Exc","Excelsa",
"Ara","Arabica",
"Lib","Liberica",
"")</f>
        <v>Excelsa</v>
      </c>
      <c r="O213" t="str" cm="1">
        <f t="array" ref="O213">_xlfn.SWITCH(J213,
"M","Medium",
"L","Light",
"D","Dark",
"")</f>
        <v>Light</v>
      </c>
      <c r="P213" t="str">
        <f>_xlfn.XLOOKUP(Orders[[#This Row],[Customer ID]],customers!$A$1:$A$1001,customers!$I$1:$I$1001,,0)</f>
        <v>No</v>
      </c>
    </row>
    <row r="214" spans="1:16" x14ac:dyDescent="0.35">
      <c r="A214" s="2" t="s">
        <v>1682</v>
      </c>
      <c r="B214" s="4">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_xlfn.XLOOKUP(D214,products!$A$1:$A$49,products!$B$1:$B$49,,0)</f>
        <v>Exc</v>
      </c>
      <c r="J214" t="str">
        <f>_xlfn.XLOOKUP(D214,products!$A$1:$A$49,products!$C$1:$C$49,,0)</f>
        <v>D</v>
      </c>
      <c r="K214" s="7">
        <f>_xlfn.XLOOKUP(D214,products!$A$1:$A$49,products!$D$1:$D$49,,0)</f>
        <v>0.2</v>
      </c>
      <c r="L214" s="9">
        <f>_xlfn.XLOOKUP(D214,products!$A$1:$A$49,products!$E$1:$E$49,,0)</f>
        <v>3.645</v>
      </c>
      <c r="M214" s="9">
        <f t="shared" si="3"/>
        <v>14.58</v>
      </c>
      <c r="N214" s="3" t="str" cm="1">
        <f t="array" ref="N214">_xlfn.SWITCH(I214,
"Rob","Robusta",
"Exc","Excelsa",
"Ara","Arabica",
"Lib","Liberica",
"")</f>
        <v>Excelsa</v>
      </c>
      <c r="O214" t="str" cm="1">
        <f t="array" ref="O214">_xlfn.SWITCH(J214,
"M","Medium",
"L","Light",
"D","Dark",
"")</f>
        <v>Dark</v>
      </c>
      <c r="P214" t="str">
        <f>_xlfn.XLOOKUP(Orders[[#This Row],[Customer ID]],customers!$A$1:$A$1001,customers!$I$1:$I$1001,,0)</f>
        <v>Yes</v>
      </c>
    </row>
    <row r="215" spans="1:16" x14ac:dyDescent="0.35">
      <c r="A215" s="2" t="s">
        <v>1688</v>
      </c>
      <c r="B215" s="4">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_xlfn.XLOOKUP(D215,products!$A$1:$A$49,products!$B$1:$B$49,,0)</f>
        <v>Rob</v>
      </c>
      <c r="J215" t="str">
        <f>_xlfn.XLOOKUP(D215,products!$A$1:$A$49,products!$C$1:$C$49,,0)</f>
        <v>D</v>
      </c>
      <c r="K215" s="7">
        <f>_xlfn.XLOOKUP(D215,products!$A$1:$A$49,products!$D$1:$D$49,,0)</f>
        <v>2.5</v>
      </c>
      <c r="L215" s="9">
        <f>_xlfn.XLOOKUP(D215,products!$A$1:$A$49,products!$E$1:$E$49,,0)</f>
        <v>20.584999999999997</v>
      </c>
      <c r="M215" s="9">
        <f t="shared" si="3"/>
        <v>20.584999999999997</v>
      </c>
      <c r="N215" s="3" t="str" cm="1">
        <f t="array" ref="N215">_xlfn.SWITCH(I215,
"Rob","Robusta",
"Exc","Excelsa",
"Ara","Arabica",
"Lib","Liberica",
"")</f>
        <v>Robusta</v>
      </c>
      <c r="O215" t="str" cm="1">
        <f t="array" ref="O215">_xlfn.SWITCH(J215,
"M","Medium",
"L","Light",
"D","Dark",
"")</f>
        <v>Dark</v>
      </c>
      <c r="P215" t="str">
        <f>_xlfn.XLOOKUP(Orders[[#This Row],[Customer ID]],customers!$A$1:$A$1001,customers!$I$1:$I$1001,,0)</f>
        <v>No</v>
      </c>
    </row>
    <row r="216" spans="1:16" x14ac:dyDescent="0.35">
      <c r="A216" s="2" t="s">
        <v>1694</v>
      </c>
      <c r="B216" s="4">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_xlfn.XLOOKUP(D216,products!$A$1:$A$49,products!$B$1:$B$49,,0)</f>
        <v>Lib</v>
      </c>
      <c r="J216" t="str">
        <f>_xlfn.XLOOKUP(D216,products!$A$1:$A$49,products!$C$1:$C$49,,0)</f>
        <v>L</v>
      </c>
      <c r="K216" s="7">
        <f>_xlfn.XLOOKUP(D216,products!$A$1:$A$49,products!$D$1:$D$49,,0)</f>
        <v>1</v>
      </c>
      <c r="L216" s="9">
        <f>_xlfn.XLOOKUP(D216,products!$A$1:$A$49,products!$E$1:$E$49,,0)</f>
        <v>15.85</v>
      </c>
      <c r="M216" s="9">
        <f t="shared" si="3"/>
        <v>31.7</v>
      </c>
      <c r="N216" s="3" t="str" cm="1">
        <f t="array" ref="N216">_xlfn.SWITCH(I216,
"Rob","Robusta",
"Exc","Excelsa",
"Ara","Arabica",
"Lib","Liberica",
"")</f>
        <v>Liberica</v>
      </c>
      <c r="O216" t="str" cm="1">
        <f t="array" ref="O216">_xlfn.SWITCH(J216,
"M","Medium",
"L","Light",
"D","Dark",
"")</f>
        <v>Light</v>
      </c>
      <c r="P216" t="str">
        <f>_xlfn.XLOOKUP(Orders[[#This Row],[Customer ID]],customers!$A$1:$A$1001,customers!$I$1:$I$1001,,0)</f>
        <v>No</v>
      </c>
    </row>
    <row r="217" spans="1:16" x14ac:dyDescent="0.35">
      <c r="A217" s="2" t="s">
        <v>1701</v>
      </c>
      <c r="B217" s="4">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_xlfn.XLOOKUP(D217,products!$A$1:$A$49,products!$B$1:$B$49,,0)</f>
        <v>Lib</v>
      </c>
      <c r="J217" t="str">
        <f>_xlfn.XLOOKUP(D217,products!$A$1:$A$49,products!$C$1:$C$49,,0)</f>
        <v>D</v>
      </c>
      <c r="K217" s="7">
        <f>_xlfn.XLOOKUP(D217,products!$A$1:$A$49,products!$D$1:$D$49,,0)</f>
        <v>0.2</v>
      </c>
      <c r="L217" s="9">
        <f>_xlfn.XLOOKUP(D217,products!$A$1:$A$49,products!$E$1:$E$49,,0)</f>
        <v>3.8849999999999998</v>
      </c>
      <c r="M217" s="9">
        <f t="shared" si="3"/>
        <v>23.31</v>
      </c>
      <c r="N217" s="3" t="str" cm="1">
        <f t="array" ref="N217">_xlfn.SWITCH(I217,
"Rob","Robusta",
"Exc","Excelsa",
"Ara","Arabica",
"Lib","Liberica",
"")</f>
        <v>Liberica</v>
      </c>
      <c r="O217" t="str" cm="1">
        <f t="array" ref="O217">_xlfn.SWITCH(J217,
"M","Medium",
"L","Light",
"D","Dark",
"")</f>
        <v>Dark</v>
      </c>
      <c r="P217" t="str">
        <f>_xlfn.XLOOKUP(Orders[[#This Row],[Customer ID]],customers!$A$1:$A$1001,customers!$I$1:$I$1001,,0)</f>
        <v>No</v>
      </c>
    </row>
    <row r="218" spans="1:16" x14ac:dyDescent="0.35">
      <c r="A218" s="2" t="s">
        <v>1707</v>
      </c>
      <c r="B218" s="4">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_xlfn.XLOOKUP(D218,products!$A$1:$A$49,products!$B$1:$B$49,,0)</f>
        <v>Lib</v>
      </c>
      <c r="J218" t="str">
        <f>_xlfn.XLOOKUP(D218,products!$A$1:$A$49,products!$C$1:$C$49,,0)</f>
        <v>M</v>
      </c>
      <c r="K218" s="7">
        <f>_xlfn.XLOOKUP(D218,products!$A$1:$A$49,products!$D$1:$D$49,,0)</f>
        <v>1</v>
      </c>
      <c r="L218" s="9">
        <f>_xlfn.XLOOKUP(D218,products!$A$1:$A$49,products!$E$1:$E$49,,0)</f>
        <v>14.55</v>
      </c>
      <c r="M218" s="9">
        <f t="shared" si="3"/>
        <v>58.2</v>
      </c>
      <c r="N218" s="3" t="str" cm="1">
        <f t="array" ref="N218">_xlfn.SWITCH(I218,
"Rob","Robusta",
"Exc","Excelsa",
"Ara","Arabica",
"Lib","Liberica",
"")</f>
        <v>Liberica</v>
      </c>
      <c r="O218" t="str" cm="1">
        <f t="array" ref="O218">_xlfn.SWITCH(J218,
"M","Medium",
"L","Light",
"D","Dark",
"")</f>
        <v>Medium</v>
      </c>
      <c r="P218" t="str">
        <f>_xlfn.XLOOKUP(Orders[[#This Row],[Customer ID]],customers!$A$1:$A$1001,customers!$I$1:$I$1001,,0)</f>
        <v>Yes</v>
      </c>
    </row>
    <row r="219" spans="1:16" x14ac:dyDescent="0.35">
      <c r="A219" s="2" t="s">
        <v>1713</v>
      </c>
      <c r="B219" s="4">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_xlfn.XLOOKUP(D219,products!$A$1:$A$49,products!$B$1:$B$49,,0)</f>
        <v>Exc</v>
      </c>
      <c r="J219" t="str">
        <f>_xlfn.XLOOKUP(D219,products!$A$1:$A$49,products!$C$1:$C$49,,0)</f>
        <v>L</v>
      </c>
      <c r="K219" s="7">
        <f>_xlfn.XLOOKUP(D219,products!$A$1:$A$49,products!$D$1:$D$49,,0)</f>
        <v>0.5</v>
      </c>
      <c r="L219" s="9">
        <f>_xlfn.XLOOKUP(D219,products!$A$1:$A$49,products!$E$1:$E$49,,0)</f>
        <v>8.91</v>
      </c>
      <c r="M219" s="9">
        <f t="shared" si="3"/>
        <v>35.64</v>
      </c>
      <c r="N219" s="3" t="str" cm="1">
        <f t="array" ref="N219">_xlfn.SWITCH(I219,
"Rob","Robusta",
"Exc","Excelsa",
"Ara","Arabica",
"Lib","Liberica",
"")</f>
        <v>Excelsa</v>
      </c>
      <c r="O219" t="str" cm="1">
        <f t="array" ref="O219">_xlfn.SWITCH(J219,
"M","Medium",
"L","Light",
"D","Dark",
"")</f>
        <v>Light</v>
      </c>
      <c r="P219" t="str">
        <f>_xlfn.XLOOKUP(Orders[[#This Row],[Customer ID]],customers!$A$1:$A$1001,customers!$I$1:$I$1001,,0)</f>
        <v>No</v>
      </c>
    </row>
    <row r="220" spans="1:16" x14ac:dyDescent="0.35">
      <c r="A220" s="2" t="s">
        <v>1719</v>
      </c>
      <c r="B220" s="4">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_xlfn.XLOOKUP(D220,products!$A$1:$A$49,products!$B$1:$B$49,,0)</f>
        <v>Ara</v>
      </c>
      <c r="J220" t="str">
        <f>_xlfn.XLOOKUP(D220,products!$A$1:$A$49,products!$C$1:$C$49,,0)</f>
        <v>M</v>
      </c>
      <c r="K220" s="7">
        <f>_xlfn.XLOOKUP(D220,products!$A$1:$A$49,products!$D$1:$D$49,,0)</f>
        <v>1</v>
      </c>
      <c r="L220" s="9">
        <f>_xlfn.XLOOKUP(D220,products!$A$1:$A$49,products!$E$1:$E$49,,0)</f>
        <v>11.25</v>
      </c>
      <c r="M220" s="9">
        <f t="shared" si="3"/>
        <v>56.25</v>
      </c>
      <c r="N220" s="3" t="str" cm="1">
        <f t="array" ref="N220">_xlfn.SWITCH(I220,
"Rob","Robusta",
"Exc","Excelsa",
"Ara","Arabica",
"Lib","Liberica",
"")</f>
        <v>Arabica</v>
      </c>
      <c r="O220" t="str" cm="1">
        <f t="array" ref="O220">_xlfn.SWITCH(J220,
"M","Medium",
"L","Light",
"D","Dark",
"")</f>
        <v>Medium</v>
      </c>
      <c r="P220" t="str">
        <f>_xlfn.XLOOKUP(Orders[[#This Row],[Customer ID]],customers!$A$1:$A$1001,customers!$I$1:$I$1001,,0)</f>
        <v>Yes</v>
      </c>
    </row>
    <row r="221" spans="1:16" x14ac:dyDescent="0.35">
      <c r="A221" s="2" t="s">
        <v>1725</v>
      </c>
      <c r="B221" s="4">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_xlfn.XLOOKUP(D221,products!$A$1:$A$49,products!$B$1:$B$49,,0)</f>
        <v>Rob</v>
      </c>
      <c r="J221" t="str">
        <f>_xlfn.XLOOKUP(D221,products!$A$1:$A$49,products!$C$1:$C$49,,0)</f>
        <v>L</v>
      </c>
      <c r="K221" s="7">
        <f>_xlfn.XLOOKUP(D221,products!$A$1:$A$49,products!$D$1:$D$49,,0)</f>
        <v>0.2</v>
      </c>
      <c r="L221" s="9">
        <f>_xlfn.XLOOKUP(D221,products!$A$1:$A$49,products!$E$1:$E$49,,0)</f>
        <v>3.5849999999999995</v>
      </c>
      <c r="M221" s="9">
        <f t="shared" si="3"/>
        <v>10.754999999999999</v>
      </c>
      <c r="N221" s="3" t="str" cm="1">
        <f t="array" ref="N221">_xlfn.SWITCH(I221,
"Rob","Robusta",
"Exc","Excelsa",
"Ara","Arabica",
"Lib","Liberica",
"")</f>
        <v>Robusta</v>
      </c>
      <c r="O221" t="str" cm="1">
        <f t="array" ref="O221">_xlfn.SWITCH(J221,
"M","Medium",
"L","Light",
"D","Dark",
"")</f>
        <v>Light</v>
      </c>
      <c r="P221" t="str">
        <f>_xlfn.XLOOKUP(Orders[[#This Row],[Customer ID]],customers!$A$1:$A$1001,customers!$I$1:$I$1001,,0)</f>
        <v>No</v>
      </c>
    </row>
    <row r="222" spans="1:16" x14ac:dyDescent="0.35">
      <c r="A222" s="2" t="s">
        <v>1725</v>
      </c>
      <c r="B222" s="4">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_xlfn.XLOOKUP(D222,products!$A$1:$A$49,products!$B$1:$B$49,,0)</f>
        <v>Rob</v>
      </c>
      <c r="J222" t="str">
        <f>_xlfn.XLOOKUP(D222,products!$A$1:$A$49,products!$C$1:$C$49,,0)</f>
        <v>M</v>
      </c>
      <c r="K222" s="7">
        <f>_xlfn.XLOOKUP(D222,products!$A$1:$A$49,products!$D$1:$D$49,,0)</f>
        <v>0.2</v>
      </c>
      <c r="L222" s="9">
        <f>_xlfn.XLOOKUP(D222,products!$A$1:$A$49,products!$E$1:$E$49,,0)</f>
        <v>2.9849999999999999</v>
      </c>
      <c r="M222" s="9">
        <f t="shared" si="3"/>
        <v>14.924999999999999</v>
      </c>
      <c r="N222" s="3" t="str" cm="1">
        <f t="array" ref="N222">_xlfn.SWITCH(I222,
"Rob","Robusta",
"Exc","Excelsa",
"Ara","Arabica",
"Lib","Liberica",
"")</f>
        <v>Robusta</v>
      </c>
      <c r="O222" t="str" cm="1">
        <f t="array" ref="O222">_xlfn.SWITCH(J222,
"M","Medium",
"L","Light",
"D","Dark",
"")</f>
        <v>Medium</v>
      </c>
      <c r="P222" t="str">
        <f>_xlfn.XLOOKUP(Orders[[#This Row],[Customer ID]],customers!$A$1:$A$1001,customers!$I$1:$I$1001,,0)</f>
        <v>No</v>
      </c>
    </row>
    <row r="223" spans="1:16" x14ac:dyDescent="0.35">
      <c r="A223" s="2" t="s">
        <v>1736</v>
      </c>
      <c r="B223" s="4">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_xlfn.XLOOKUP(D223,products!$A$1:$A$49,products!$B$1:$B$49,,0)</f>
        <v>Ara</v>
      </c>
      <c r="J223" t="str">
        <f>_xlfn.XLOOKUP(D223,products!$A$1:$A$49,products!$C$1:$C$49,,0)</f>
        <v>L</v>
      </c>
      <c r="K223" s="7">
        <f>_xlfn.XLOOKUP(D223,products!$A$1:$A$49,products!$D$1:$D$49,,0)</f>
        <v>1</v>
      </c>
      <c r="L223" s="9">
        <f>_xlfn.XLOOKUP(D223,products!$A$1:$A$49,products!$E$1:$E$49,,0)</f>
        <v>12.95</v>
      </c>
      <c r="M223" s="9">
        <f t="shared" si="3"/>
        <v>77.699999999999989</v>
      </c>
      <c r="N223" s="3" t="str" cm="1">
        <f t="array" ref="N223">_xlfn.SWITCH(I223,
"Rob","Robusta",
"Exc","Excelsa",
"Ara","Arabica",
"Lib","Liberica",
"")</f>
        <v>Arabica</v>
      </c>
      <c r="O223" t="str" cm="1">
        <f t="array" ref="O223">_xlfn.SWITCH(J223,
"M","Medium",
"L","Light",
"D","Dark",
"")</f>
        <v>Light</v>
      </c>
      <c r="P223" t="str">
        <f>_xlfn.XLOOKUP(Orders[[#This Row],[Customer ID]],customers!$A$1:$A$1001,customers!$I$1:$I$1001,,0)</f>
        <v>Yes</v>
      </c>
    </row>
    <row r="224" spans="1:16" x14ac:dyDescent="0.35">
      <c r="A224" s="2" t="s">
        <v>1742</v>
      </c>
      <c r="B224" s="4">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_xlfn.XLOOKUP(D224,products!$A$1:$A$49,products!$B$1:$B$49,,0)</f>
        <v>Lib</v>
      </c>
      <c r="J224" t="str">
        <f>_xlfn.XLOOKUP(D224,products!$A$1:$A$49,products!$C$1:$C$49,,0)</f>
        <v>D</v>
      </c>
      <c r="K224" s="7">
        <f>_xlfn.XLOOKUP(D224,products!$A$1:$A$49,products!$D$1:$D$49,,0)</f>
        <v>0.5</v>
      </c>
      <c r="L224" s="9">
        <f>_xlfn.XLOOKUP(D224,products!$A$1:$A$49,products!$E$1:$E$49,,0)</f>
        <v>7.77</v>
      </c>
      <c r="M224" s="9">
        <f t="shared" si="3"/>
        <v>23.31</v>
      </c>
      <c r="N224" s="3" t="str" cm="1">
        <f t="array" ref="N224">_xlfn.SWITCH(I224,
"Rob","Robusta",
"Exc","Excelsa",
"Ara","Arabica",
"Lib","Liberica",
"")</f>
        <v>Liberica</v>
      </c>
      <c r="O224" t="str" cm="1">
        <f t="array" ref="O224">_xlfn.SWITCH(J224,
"M","Medium",
"L","Light",
"D","Dark",
"")</f>
        <v>Dark</v>
      </c>
      <c r="P224" t="str">
        <f>_xlfn.XLOOKUP(Orders[[#This Row],[Customer ID]],customers!$A$1:$A$1001,customers!$I$1:$I$1001,,0)</f>
        <v>No</v>
      </c>
    </row>
    <row r="225" spans="1:16" x14ac:dyDescent="0.35">
      <c r="A225" s="2" t="s">
        <v>1748</v>
      </c>
      <c r="B225" s="4">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_xlfn.XLOOKUP(D225,products!$A$1:$A$49,products!$B$1:$B$49,,0)</f>
        <v>Exc</v>
      </c>
      <c r="J225" t="str">
        <f>_xlfn.XLOOKUP(D225,products!$A$1:$A$49,products!$C$1:$C$49,,0)</f>
        <v>L</v>
      </c>
      <c r="K225" s="7">
        <f>_xlfn.XLOOKUP(D225,products!$A$1:$A$49,products!$D$1:$D$49,,0)</f>
        <v>1</v>
      </c>
      <c r="L225" s="9">
        <f>_xlfn.XLOOKUP(D225,products!$A$1:$A$49,products!$E$1:$E$49,,0)</f>
        <v>14.85</v>
      </c>
      <c r="M225" s="9">
        <f t="shared" si="3"/>
        <v>59.4</v>
      </c>
      <c r="N225" s="3" t="str" cm="1">
        <f t="array" ref="N225">_xlfn.SWITCH(I225,
"Rob","Robusta",
"Exc","Excelsa",
"Ara","Arabica",
"Lib","Liberica",
"")</f>
        <v>Excelsa</v>
      </c>
      <c r="O225" t="str" cm="1">
        <f t="array" ref="O225">_xlfn.SWITCH(J225,
"M","Medium",
"L","Light",
"D","Dark",
"")</f>
        <v>Light</v>
      </c>
      <c r="P225" t="str">
        <f>_xlfn.XLOOKUP(Orders[[#This Row],[Customer ID]],customers!$A$1:$A$1001,customers!$I$1:$I$1001,,0)</f>
        <v>Yes</v>
      </c>
    </row>
    <row r="226" spans="1:16" x14ac:dyDescent="0.35">
      <c r="A226" s="2" t="s">
        <v>1753</v>
      </c>
      <c r="B226" s="4">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_xlfn.XLOOKUP(D226,products!$A$1:$A$49,products!$B$1:$B$49,,0)</f>
        <v>Lib</v>
      </c>
      <c r="J226" t="str">
        <f>_xlfn.XLOOKUP(D226,products!$A$1:$A$49,products!$C$1:$C$49,,0)</f>
        <v>D</v>
      </c>
      <c r="K226" s="7">
        <f>_xlfn.XLOOKUP(D226,products!$A$1:$A$49,products!$D$1:$D$49,,0)</f>
        <v>2.5</v>
      </c>
      <c r="L226" s="9">
        <f>_xlfn.XLOOKUP(D226,products!$A$1:$A$49,products!$E$1:$E$49,,0)</f>
        <v>29.784999999999997</v>
      </c>
      <c r="M226" s="9">
        <f t="shared" si="3"/>
        <v>119.13999999999999</v>
      </c>
      <c r="N226" s="3" t="str" cm="1">
        <f t="array" ref="N226">_xlfn.SWITCH(I226,
"Rob","Robusta",
"Exc","Excelsa",
"Ara","Arabica",
"Lib","Liberica",
"")</f>
        <v>Liberica</v>
      </c>
      <c r="O226" t="str" cm="1">
        <f t="array" ref="O226">_xlfn.SWITCH(J226,
"M","Medium",
"L","Light",
"D","Dark",
"")</f>
        <v>Dark</v>
      </c>
      <c r="P226" t="str">
        <f>_xlfn.XLOOKUP(Orders[[#This Row],[Customer ID]],customers!$A$1:$A$1001,customers!$I$1:$I$1001,,0)</f>
        <v>Yes</v>
      </c>
    </row>
    <row r="227" spans="1:16" x14ac:dyDescent="0.35">
      <c r="A227" s="2" t="s">
        <v>1759</v>
      </c>
      <c r="B227" s="4">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_xlfn.XLOOKUP(D227,products!$A$1:$A$49,products!$B$1:$B$49,,0)</f>
        <v>Rob</v>
      </c>
      <c r="J227" t="str">
        <f>_xlfn.XLOOKUP(D227,products!$A$1:$A$49,products!$C$1:$C$49,,0)</f>
        <v>L</v>
      </c>
      <c r="K227" s="7">
        <f>_xlfn.XLOOKUP(D227,products!$A$1:$A$49,products!$D$1:$D$49,,0)</f>
        <v>0.2</v>
      </c>
      <c r="L227" s="9">
        <f>_xlfn.XLOOKUP(D227,products!$A$1:$A$49,products!$E$1:$E$49,,0)</f>
        <v>3.5849999999999995</v>
      </c>
      <c r="M227" s="9">
        <f t="shared" si="3"/>
        <v>14.339999999999998</v>
      </c>
      <c r="N227" s="3" t="str" cm="1">
        <f t="array" ref="N227">_xlfn.SWITCH(I227,
"Rob","Robusta",
"Exc","Excelsa",
"Ara","Arabica",
"Lib","Liberica",
"")</f>
        <v>Robusta</v>
      </c>
      <c r="O227" t="str" cm="1">
        <f t="array" ref="O227">_xlfn.SWITCH(J227,
"M","Medium",
"L","Light",
"D","Dark",
"")</f>
        <v>Light</v>
      </c>
      <c r="P227" t="str">
        <f>_xlfn.XLOOKUP(Orders[[#This Row],[Customer ID]],customers!$A$1:$A$1001,customers!$I$1:$I$1001,,0)</f>
        <v>No</v>
      </c>
    </row>
    <row r="228" spans="1:16" x14ac:dyDescent="0.35">
      <c r="A228" s="2" t="s">
        <v>1765</v>
      </c>
      <c r="B228" s="4">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_xlfn.XLOOKUP(D228,products!$A$1:$A$49,products!$B$1:$B$49,,0)</f>
        <v>Ara</v>
      </c>
      <c r="J228" t="str">
        <f>_xlfn.XLOOKUP(D228,products!$A$1:$A$49,products!$C$1:$C$49,,0)</f>
        <v>M</v>
      </c>
      <c r="K228" s="7">
        <f>_xlfn.XLOOKUP(D228,products!$A$1:$A$49,products!$D$1:$D$49,,0)</f>
        <v>2.5</v>
      </c>
      <c r="L228" s="9">
        <f>_xlfn.XLOOKUP(D228,products!$A$1:$A$49,products!$E$1:$E$49,,0)</f>
        <v>25.874999999999996</v>
      </c>
      <c r="M228" s="9">
        <f t="shared" si="3"/>
        <v>129.37499999999997</v>
      </c>
      <c r="N228" s="3" t="str" cm="1">
        <f t="array" ref="N228">_xlfn.SWITCH(I228,
"Rob","Robusta",
"Exc","Excelsa",
"Ara","Arabica",
"Lib","Liberica",
"")</f>
        <v>Arabica</v>
      </c>
      <c r="O228" t="str" cm="1">
        <f t="array" ref="O228">_xlfn.SWITCH(J228,
"M","Medium",
"L","Light",
"D","Dark",
"")</f>
        <v>Medium</v>
      </c>
      <c r="P228" t="str">
        <f>_xlfn.XLOOKUP(Orders[[#This Row],[Customer ID]],customers!$A$1:$A$1001,customers!$I$1:$I$1001,,0)</f>
        <v>No</v>
      </c>
    </row>
    <row r="229" spans="1:16" x14ac:dyDescent="0.35">
      <c r="A229" s="2" t="s">
        <v>1771</v>
      </c>
      <c r="B229" s="4">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_xlfn.XLOOKUP(D229,products!$A$1:$A$49,products!$B$1:$B$49,,0)</f>
        <v>Rob</v>
      </c>
      <c r="J229" t="str">
        <f>_xlfn.XLOOKUP(D229,products!$A$1:$A$49,products!$C$1:$C$49,,0)</f>
        <v>D</v>
      </c>
      <c r="K229" s="7">
        <f>_xlfn.XLOOKUP(D229,products!$A$1:$A$49,products!$D$1:$D$49,,0)</f>
        <v>0.2</v>
      </c>
      <c r="L229" s="9">
        <f>_xlfn.XLOOKUP(D229,products!$A$1:$A$49,products!$E$1:$E$49,,0)</f>
        <v>2.6849999999999996</v>
      </c>
      <c r="M229" s="9">
        <f t="shared" si="3"/>
        <v>16.11</v>
      </c>
      <c r="N229" s="3" t="str" cm="1">
        <f t="array" ref="N229">_xlfn.SWITCH(I229,
"Rob","Robusta",
"Exc","Excelsa",
"Ara","Arabica",
"Lib","Liberica",
"")</f>
        <v>Robusta</v>
      </c>
      <c r="O229" t="str" cm="1">
        <f t="array" ref="O229">_xlfn.SWITCH(J229,
"M","Medium",
"L","Light",
"D","Dark",
"")</f>
        <v>Dark</v>
      </c>
      <c r="P229" t="str">
        <f>_xlfn.XLOOKUP(Orders[[#This Row],[Customer ID]],customers!$A$1:$A$1001,customers!$I$1:$I$1001,,0)</f>
        <v>Yes</v>
      </c>
    </row>
    <row r="230" spans="1:16" x14ac:dyDescent="0.35">
      <c r="A230" s="2" t="s">
        <v>1777</v>
      </c>
      <c r="B230" s="4">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_xlfn.XLOOKUP(D230,products!$A$1:$A$49,products!$B$1:$B$49,,0)</f>
        <v>Rob</v>
      </c>
      <c r="J230" t="str">
        <f>_xlfn.XLOOKUP(D230,products!$A$1:$A$49,products!$C$1:$C$49,,0)</f>
        <v>L</v>
      </c>
      <c r="K230" s="7">
        <f>_xlfn.XLOOKUP(D230,products!$A$1:$A$49,products!$D$1:$D$49,,0)</f>
        <v>0.2</v>
      </c>
      <c r="L230" s="9">
        <f>_xlfn.XLOOKUP(D230,products!$A$1:$A$49,products!$E$1:$E$49,,0)</f>
        <v>3.5849999999999995</v>
      </c>
      <c r="M230" s="9">
        <f t="shared" si="3"/>
        <v>17.924999999999997</v>
      </c>
      <c r="N230" s="3" t="str" cm="1">
        <f t="array" ref="N230">_xlfn.SWITCH(I230,
"Rob","Robusta",
"Exc","Excelsa",
"Ara","Arabica",
"Lib","Liberica",
"")</f>
        <v>Robusta</v>
      </c>
      <c r="O230" t="str" cm="1">
        <f t="array" ref="O230">_xlfn.SWITCH(J230,
"M","Medium",
"L","Light",
"D","Dark",
"")</f>
        <v>Light</v>
      </c>
      <c r="P230" t="str">
        <f>_xlfn.XLOOKUP(Orders[[#This Row],[Customer ID]],customers!$A$1:$A$1001,customers!$I$1:$I$1001,,0)</f>
        <v>No</v>
      </c>
    </row>
    <row r="231" spans="1:16" x14ac:dyDescent="0.35">
      <c r="A231" s="2" t="s">
        <v>1783</v>
      </c>
      <c r="B231" s="4">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_xlfn.XLOOKUP(D231,products!$A$1:$A$49,products!$B$1:$B$49,,0)</f>
        <v>Lib</v>
      </c>
      <c r="J231" t="str">
        <f>_xlfn.XLOOKUP(D231,products!$A$1:$A$49,products!$C$1:$C$49,,0)</f>
        <v>M</v>
      </c>
      <c r="K231" s="7">
        <f>_xlfn.XLOOKUP(D231,products!$A$1:$A$49,products!$D$1:$D$49,,0)</f>
        <v>0.2</v>
      </c>
      <c r="L231" s="9">
        <f>_xlfn.XLOOKUP(D231,products!$A$1:$A$49,products!$E$1:$E$49,,0)</f>
        <v>4.3650000000000002</v>
      </c>
      <c r="M231" s="9">
        <f t="shared" si="3"/>
        <v>8.73</v>
      </c>
      <c r="N231" s="3" t="str" cm="1">
        <f t="array" ref="N231">_xlfn.SWITCH(I231,
"Rob","Robusta",
"Exc","Excelsa",
"Ara","Arabica",
"Lib","Liberica",
"")</f>
        <v>Liberica</v>
      </c>
      <c r="O231" t="str" cm="1">
        <f t="array" ref="O231">_xlfn.SWITCH(J231,
"M","Medium",
"L","Light",
"D","Dark",
"")</f>
        <v>Medium</v>
      </c>
      <c r="P231" t="str">
        <f>_xlfn.XLOOKUP(Orders[[#This Row],[Customer ID]],customers!$A$1:$A$1001,customers!$I$1:$I$1001,,0)</f>
        <v>No</v>
      </c>
    </row>
    <row r="232" spans="1:16" x14ac:dyDescent="0.35">
      <c r="A232" s="2" t="s">
        <v>1789</v>
      </c>
      <c r="B232" s="4">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_xlfn.XLOOKUP(D232,products!$A$1:$A$49,products!$B$1:$B$49,,0)</f>
        <v>Ara</v>
      </c>
      <c r="J232" t="str">
        <f>_xlfn.XLOOKUP(D232,products!$A$1:$A$49,products!$C$1:$C$49,,0)</f>
        <v>M</v>
      </c>
      <c r="K232" s="7">
        <f>_xlfn.XLOOKUP(D232,products!$A$1:$A$49,products!$D$1:$D$49,,0)</f>
        <v>2.5</v>
      </c>
      <c r="L232" s="9">
        <f>_xlfn.XLOOKUP(D232,products!$A$1:$A$49,products!$E$1:$E$49,,0)</f>
        <v>25.874999999999996</v>
      </c>
      <c r="M232" s="9">
        <f t="shared" si="3"/>
        <v>51.749999999999993</v>
      </c>
      <c r="N232" s="3" t="str" cm="1">
        <f t="array" ref="N232">_xlfn.SWITCH(I232,
"Rob","Robusta",
"Exc","Excelsa",
"Ara","Arabica",
"Lib","Liberica",
"")</f>
        <v>Arabica</v>
      </c>
      <c r="O232" t="str" cm="1">
        <f t="array" ref="O232">_xlfn.SWITCH(J232,
"M","Medium",
"L","Light",
"D","Dark",
"")</f>
        <v>Medium</v>
      </c>
      <c r="P232" t="str">
        <f>_xlfn.XLOOKUP(Orders[[#This Row],[Customer ID]],customers!$A$1:$A$1001,customers!$I$1:$I$1001,,0)</f>
        <v>No</v>
      </c>
    </row>
    <row r="233" spans="1:16" x14ac:dyDescent="0.35">
      <c r="A233" s="2" t="s">
        <v>1795</v>
      </c>
      <c r="B233" s="4">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_xlfn.XLOOKUP(D233,products!$A$1:$A$49,products!$B$1:$B$49,,0)</f>
        <v>Lib</v>
      </c>
      <c r="J233" t="str">
        <f>_xlfn.XLOOKUP(D233,products!$A$1:$A$49,products!$C$1:$C$49,,0)</f>
        <v>M</v>
      </c>
      <c r="K233" s="7">
        <f>_xlfn.XLOOKUP(D233,products!$A$1:$A$49,products!$D$1:$D$49,,0)</f>
        <v>0.2</v>
      </c>
      <c r="L233" s="9">
        <f>_xlfn.XLOOKUP(D233,products!$A$1:$A$49,products!$E$1:$E$49,,0)</f>
        <v>4.3650000000000002</v>
      </c>
      <c r="M233" s="9">
        <f t="shared" si="3"/>
        <v>8.73</v>
      </c>
      <c r="N233" s="3" t="str" cm="1">
        <f t="array" ref="N233">_xlfn.SWITCH(I233,
"Rob","Robusta",
"Exc","Excelsa",
"Ara","Arabica",
"Lib","Liberica",
"")</f>
        <v>Liberica</v>
      </c>
      <c r="O233" t="str" cm="1">
        <f t="array" ref="O233">_xlfn.SWITCH(J233,
"M","Medium",
"L","Light",
"D","Dark",
"")</f>
        <v>Medium</v>
      </c>
      <c r="P233" t="str">
        <f>_xlfn.XLOOKUP(Orders[[#This Row],[Customer ID]],customers!$A$1:$A$1001,customers!$I$1:$I$1001,,0)</f>
        <v>Yes</v>
      </c>
    </row>
    <row r="234" spans="1:16" x14ac:dyDescent="0.35">
      <c r="A234" s="2" t="s">
        <v>1800</v>
      </c>
      <c r="B234" s="4">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_xlfn.XLOOKUP(D234,products!$A$1:$A$49,products!$B$1:$B$49,,0)</f>
        <v>Lib</v>
      </c>
      <c r="J234" t="str">
        <f>_xlfn.XLOOKUP(D234,products!$A$1:$A$49,products!$C$1:$C$49,,0)</f>
        <v>L</v>
      </c>
      <c r="K234" s="7">
        <f>_xlfn.XLOOKUP(D234,products!$A$1:$A$49,products!$D$1:$D$49,,0)</f>
        <v>0.2</v>
      </c>
      <c r="L234" s="9">
        <f>_xlfn.XLOOKUP(D234,products!$A$1:$A$49,products!$E$1:$E$49,,0)</f>
        <v>4.7549999999999999</v>
      </c>
      <c r="M234" s="9">
        <f t="shared" si="3"/>
        <v>23.774999999999999</v>
      </c>
      <c r="N234" s="3" t="str" cm="1">
        <f t="array" ref="N234">_xlfn.SWITCH(I234,
"Rob","Robusta",
"Exc","Excelsa",
"Ara","Arabica",
"Lib","Liberica",
"")</f>
        <v>Liberica</v>
      </c>
      <c r="O234" t="str" cm="1">
        <f t="array" ref="O234">_xlfn.SWITCH(J234,
"M","Medium",
"L","Light",
"D","Dark",
"")</f>
        <v>Light</v>
      </c>
      <c r="P234" t="str">
        <f>_xlfn.XLOOKUP(Orders[[#This Row],[Customer ID]],customers!$A$1:$A$1001,customers!$I$1:$I$1001,,0)</f>
        <v>No</v>
      </c>
    </row>
    <row r="235" spans="1:16" x14ac:dyDescent="0.35">
      <c r="A235" s="2" t="s">
        <v>1806</v>
      </c>
      <c r="B235" s="4">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_xlfn.XLOOKUP(D235,products!$A$1:$A$49,products!$B$1:$B$49,,0)</f>
        <v>Exc</v>
      </c>
      <c r="J235" t="str">
        <f>_xlfn.XLOOKUP(D235,products!$A$1:$A$49,products!$C$1:$C$49,,0)</f>
        <v>M</v>
      </c>
      <c r="K235" s="7">
        <f>_xlfn.XLOOKUP(D235,products!$A$1:$A$49,products!$D$1:$D$49,,0)</f>
        <v>0.2</v>
      </c>
      <c r="L235" s="9">
        <f>_xlfn.XLOOKUP(D235,products!$A$1:$A$49,products!$E$1:$E$49,,0)</f>
        <v>4.125</v>
      </c>
      <c r="M235" s="9">
        <f t="shared" si="3"/>
        <v>20.625</v>
      </c>
      <c r="N235" s="3" t="str" cm="1">
        <f t="array" ref="N235">_xlfn.SWITCH(I235,
"Rob","Robusta",
"Exc","Excelsa",
"Ara","Arabica",
"Lib","Liberica",
"")</f>
        <v>Excelsa</v>
      </c>
      <c r="O235" t="str" cm="1">
        <f t="array" ref="O235">_xlfn.SWITCH(J235,
"M","Medium",
"L","Light",
"D","Dark",
"")</f>
        <v>Medium</v>
      </c>
      <c r="P235" t="str">
        <f>_xlfn.XLOOKUP(Orders[[#This Row],[Customer ID]],customers!$A$1:$A$1001,customers!$I$1:$I$1001,,0)</f>
        <v>No</v>
      </c>
    </row>
    <row r="236" spans="1:16" x14ac:dyDescent="0.35">
      <c r="A236" s="2" t="s">
        <v>1812</v>
      </c>
      <c r="B236" s="4">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_xlfn.XLOOKUP(D236,products!$A$1:$A$49,products!$B$1:$B$49,,0)</f>
        <v>Lib</v>
      </c>
      <c r="J236" t="str">
        <f>_xlfn.XLOOKUP(D236,products!$A$1:$A$49,products!$C$1:$C$49,,0)</f>
        <v>L</v>
      </c>
      <c r="K236" s="7">
        <f>_xlfn.XLOOKUP(D236,products!$A$1:$A$49,products!$D$1:$D$49,,0)</f>
        <v>2.5</v>
      </c>
      <c r="L236" s="9">
        <f>_xlfn.XLOOKUP(D236,products!$A$1:$A$49,products!$E$1:$E$49,,0)</f>
        <v>36.454999999999998</v>
      </c>
      <c r="M236" s="9">
        <f t="shared" si="3"/>
        <v>36.454999999999998</v>
      </c>
      <c r="N236" s="3" t="str" cm="1">
        <f t="array" ref="N236">_xlfn.SWITCH(I236,
"Rob","Robusta",
"Exc","Excelsa",
"Ara","Arabica",
"Lib","Liberica",
"")</f>
        <v>Liberica</v>
      </c>
      <c r="O236" t="str" cm="1">
        <f t="array" ref="O236">_xlfn.SWITCH(J236,
"M","Medium",
"L","Light",
"D","Dark",
"")</f>
        <v>Light</v>
      </c>
      <c r="P236" t="str">
        <f>_xlfn.XLOOKUP(Orders[[#This Row],[Customer ID]],customers!$A$1:$A$1001,customers!$I$1:$I$1001,,0)</f>
        <v>No</v>
      </c>
    </row>
    <row r="237" spans="1:16" x14ac:dyDescent="0.35">
      <c r="A237" s="2" t="s">
        <v>1818</v>
      </c>
      <c r="B237" s="4">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_xlfn.XLOOKUP(D237,products!$A$1:$A$49,products!$B$1:$B$49,,0)</f>
        <v>Lib</v>
      </c>
      <c r="J237" t="str">
        <f>_xlfn.XLOOKUP(D237,products!$A$1:$A$49,products!$C$1:$C$49,,0)</f>
        <v>L</v>
      </c>
      <c r="K237" s="7">
        <f>_xlfn.XLOOKUP(D237,products!$A$1:$A$49,products!$D$1:$D$49,,0)</f>
        <v>2.5</v>
      </c>
      <c r="L237" s="9">
        <f>_xlfn.XLOOKUP(D237,products!$A$1:$A$49,products!$E$1:$E$49,,0)</f>
        <v>36.454999999999998</v>
      </c>
      <c r="M237" s="9">
        <f t="shared" si="3"/>
        <v>182.27499999999998</v>
      </c>
      <c r="N237" s="3" t="str" cm="1">
        <f t="array" ref="N237">_xlfn.SWITCH(I237,
"Rob","Robusta",
"Exc","Excelsa",
"Ara","Arabica",
"Lib","Liberica",
"")</f>
        <v>Liberica</v>
      </c>
      <c r="O237" t="str" cm="1">
        <f t="array" ref="O237">_xlfn.SWITCH(J237,
"M","Medium",
"L","Light",
"D","Dark",
"")</f>
        <v>Light</v>
      </c>
      <c r="P237" t="str">
        <f>_xlfn.XLOOKUP(Orders[[#This Row],[Customer ID]],customers!$A$1:$A$1001,customers!$I$1:$I$1001,,0)</f>
        <v>No</v>
      </c>
    </row>
    <row r="238" spans="1:16" x14ac:dyDescent="0.35">
      <c r="A238" s="2" t="s">
        <v>1822</v>
      </c>
      <c r="B238" s="4">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_xlfn.XLOOKUP(D238,products!$A$1:$A$49,products!$B$1:$B$49,,0)</f>
        <v>Lib</v>
      </c>
      <c r="J238" t="str">
        <f>_xlfn.XLOOKUP(D238,products!$A$1:$A$49,products!$C$1:$C$49,,0)</f>
        <v>D</v>
      </c>
      <c r="K238" s="7">
        <f>_xlfn.XLOOKUP(D238,products!$A$1:$A$49,products!$D$1:$D$49,,0)</f>
        <v>2.5</v>
      </c>
      <c r="L238" s="9">
        <f>_xlfn.XLOOKUP(D238,products!$A$1:$A$49,products!$E$1:$E$49,,0)</f>
        <v>29.784999999999997</v>
      </c>
      <c r="M238" s="9">
        <f t="shared" si="3"/>
        <v>89.35499999999999</v>
      </c>
      <c r="N238" s="3" t="str" cm="1">
        <f t="array" ref="N238">_xlfn.SWITCH(I238,
"Rob","Robusta",
"Exc","Excelsa",
"Ara","Arabica",
"Lib","Liberica",
"")</f>
        <v>Liberica</v>
      </c>
      <c r="O238" t="str" cm="1">
        <f t="array" ref="O238">_xlfn.SWITCH(J238,
"M","Medium",
"L","Light",
"D","Dark",
"")</f>
        <v>Dark</v>
      </c>
      <c r="P238" t="str">
        <f>_xlfn.XLOOKUP(Orders[[#This Row],[Customer ID]],customers!$A$1:$A$1001,customers!$I$1:$I$1001,,0)</f>
        <v>No</v>
      </c>
    </row>
    <row r="239" spans="1:16" x14ac:dyDescent="0.35">
      <c r="A239" s="2" t="s">
        <v>1828</v>
      </c>
      <c r="B239" s="4">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_xlfn.XLOOKUP(D239,products!$A$1:$A$49,products!$B$1:$B$49,,0)</f>
        <v>Rob</v>
      </c>
      <c r="J239" t="str">
        <f>_xlfn.XLOOKUP(D239,products!$A$1:$A$49,products!$C$1:$C$49,,0)</f>
        <v>L</v>
      </c>
      <c r="K239" s="7">
        <f>_xlfn.XLOOKUP(D239,products!$A$1:$A$49,products!$D$1:$D$49,,0)</f>
        <v>0.2</v>
      </c>
      <c r="L239" s="9">
        <f>_xlfn.XLOOKUP(D239,products!$A$1:$A$49,products!$E$1:$E$49,,0)</f>
        <v>3.5849999999999995</v>
      </c>
      <c r="M239" s="9">
        <f t="shared" si="3"/>
        <v>3.5849999999999995</v>
      </c>
      <c r="N239" s="3" t="str" cm="1">
        <f t="array" ref="N239">_xlfn.SWITCH(I239,
"Rob","Robusta",
"Exc","Excelsa",
"Ara","Arabica",
"Lib","Liberica",
"")</f>
        <v>Robusta</v>
      </c>
      <c r="O239" t="str" cm="1">
        <f t="array" ref="O239">_xlfn.SWITCH(J239,
"M","Medium",
"L","Light",
"D","Dark",
"")</f>
        <v>Light</v>
      </c>
      <c r="P239" t="str">
        <f>_xlfn.XLOOKUP(Orders[[#This Row],[Customer ID]],customers!$A$1:$A$1001,customers!$I$1:$I$1001,,0)</f>
        <v>Yes</v>
      </c>
    </row>
    <row r="240" spans="1:16" x14ac:dyDescent="0.35">
      <c r="A240" s="2" t="s">
        <v>1833</v>
      </c>
      <c r="B240" s="4">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_xlfn.XLOOKUP(D240,products!$A$1:$A$49,products!$B$1:$B$49,,0)</f>
        <v>Rob</v>
      </c>
      <c r="J240" t="str">
        <f>_xlfn.XLOOKUP(D240,products!$A$1:$A$49,products!$C$1:$C$49,,0)</f>
        <v>M</v>
      </c>
      <c r="K240" s="7">
        <f>_xlfn.XLOOKUP(D240,products!$A$1:$A$49,products!$D$1:$D$49,,0)</f>
        <v>2.5</v>
      </c>
      <c r="L240" s="9">
        <f>_xlfn.XLOOKUP(D240,products!$A$1:$A$49,products!$E$1:$E$49,,0)</f>
        <v>22.884999999999998</v>
      </c>
      <c r="M240" s="9">
        <f t="shared" si="3"/>
        <v>45.769999999999996</v>
      </c>
      <c r="N240" s="3" t="str" cm="1">
        <f t="array" ref="N240">_xlfn.SWITCH(I240,
"Rob","Robusta",
"Exc","Excelsa",
"Ara","Arabica",
"Lib","Liberica",
"")</f>
        <v>Robusta</v>
      </c>
      <c r="O240" t="str" cm="1">
        <f t="array" ref="O240">_xlfn.SWITCH(J240,
"M","Medium",
"L","Light",
"D","Dark",
"")</f>
        <v>Medium</v>
      </c>
      <c r="P240" t="str">
        <f>_xlfn.XLOOKUP(Orders[[#This Row],[Customer ID]],customers!$A$1:$A$1001,customers!$I$1:$I$1001,,0)</f>
        <v>Yes</v>
      </c>
    </row>
    <row r="241" spans="1:16" x14ac:dyDescent="0.35">
      <c r="A241" s="2" t="s">
        <v>1839</v>
      </c>
      <c r="B241" s="4">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_xlfn.XLOOKUP(D241,products!$A$1:$A$49,products!$B$1:$B$49,,0)</f>
        <v>Exc</v>
      </c>
      <c r="J241" t="str">
        <f>_xlfn.XLOOKUP(D241,products!$A$1:$A$49,products!$C$1:$C$49,,0)</f>
        <v>L</v>
      </c>
      <c r="K241" s="7">
        <f>_xlfn.XLOOKUP(D241,products!$A$1:$A$49,products!$D$1:$D$49,,0)</f>
        <v>1</v>
      </c>
      <c r="L241" s="9">
        <f>_xlfn.XLOOKUP(D241,products!$A$1:$A$49,products!$E$1:$E$49,,0)</f>
        <v>14.85</v>
      </c>
      <c r="M241" s="9">
        <f t="shared" si="3"/>
        <v>59.4</v>
      </c>
      <c r="N241" s="3" t="str" cm="1">
        <f t="array" ref="N241">_xlfn.SWITCH(I241,
"Rob","Robusta",
"Exc","Excelsa",
"Ara","Arabica",
"Lib","Liberica",
"")</f>
        <v>Excelsa</v>
      </c>
      <c r="O241" t="str" cm="1">
        <f t="array" ref="O241">_xlfn.SWITCH(J241,
"M","Medium",
"L","Light",
"D","Dark",
"")</f>
        <v>Light</v>
      </c>
      <c r="P241" t="str">
        <f>_xlfn.XLOOKUP(Orders[[#This Row],[Customer ID]],customers!$A$1:$A$1001,customers!$I$1:$I$1001,,0)</f>
        <v>No</v>
      </c>
    </row>
    <row r="242" spans="1:16" x14ac:dyDescent="0.35">
      <c r="A242" s="2" t="s">
        <v>1845</v>
      </c>
      <c r="B242" s="4">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_xlfn.XLOOKUP(D242,products!$A$1:$A$49,products!$B$1:$B$49,,0)</f>
        <v>Ara</v>
      </c>
      <c r="J242" t="str">
        <f>_xlfn.XLOOKUP(D242,products!$A$1:$A$49,products!$C$1:$C$49,,0)</f>
        <v>M</v>
      </c>
      <c r="K242" s="7">
        <f>_xlfn.XLOOKUP(D242,products!$A$1:$A$49,products!$D$1:$D$49,,0)</f>
        <v>2.5</v>
      </c>
      <c r="L242" s="9">
        <f>_xlfn.XLOOKUP(D242,products!$A$1:$A$49,products!$E$1:$E$49,,0)</f>
        <v>25.874999999999996</v>
      </c>
      <c r="M242" s="9">
        <f t="shared" si="3"/>
        <v>155.24999999999997</v>
      </c>
      <c r="N242" s="3" t="str" cm="1">
        <f t="array" ref="N242">_xlfn.SWITCH(I242,
"Rob","Robusta",
"Exc","Excelsa",
"Ara","Arabica",
"Lib","Liberica",
"")</f>
        <v>Arabica</v>
      </c>
      <c r="O242" t="str" cm="1">
        <f t="array" ref="O242">_xlfn.SWITCH(J242,
"M","Medium",
"L","Light",
"D","Dark",
"")</f>
        <v>Medium</v>
      </c>
      <c r="P242" t="str">
        <f>_xlfn.XLOOKUP(Orders[[#This Row],[Customer ID]],customers!$A$1:$A$1001,customers!$I$1:$I$1001,,0)</f>
        <v>Yes</v>
      </c>
    </row>
    <row r="243" spans="1:16" x14ac:dyDescent="0.35">
      <c r="A243" s="2" t="s">
        <v>1849</v>
      </c>
      <c r="B243" s="4">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_xlfn.XLOOKUP(D243,products!$A$1:$A$49,products!$B$1:$B$49,,0)</f>
        <v>Rob</v>
      </c>
      <c r="J243" t="str">
        <f>_xlfn.XLOOKUP(D243,products!$A$1:$A$49,products!$C$1:$C$49,,0)</f>
        <v>M</v>
      </c>
      <c r="K243" s="7">
        <f>_xlfn.XLOOKUP(D243,products!$A$1:$A$49,products!$D$1:$D$49,,0)</f>
        <v>2.5</v>
      </c>
      <c r="L243" s="9">
        <f>_xlfn.XLOOKUP(D243,products!$A$1:$A$49,products!$E$1:$E$49,,0)</f>
        <v>22.884999999999998</v>
      </c>
      <c r="M243" s="9">
        <f t="shared" si="3"/>
        <v>45.769999999999996</v>
      </c>
      <c r="N243" s="3" t="str" cm="1">
        <f t="array" ref="N243">_xlfn.SWITCH(I243,
"Rob","Robusta",
"Exc","Excelsa",
"Ara","Arabica",
"Lib","Liberica",
"")</f>
        <v>Robusta</v>
      </c>
      <c r="O243" t="str" cm="1">
        <f t="array" ref="O243">_xlfn.SWITCH(J243,
"M","Medium",
"L","Light",
"D","Dark",
"")</f>
        <v>Medium</v>
      </c>
      <c r="P243" t="str">
        <f>_xlfn.XLOOKUP(Orders[[#This Row],[Customer ID]],customers!$A$1:$A$1001,customers!$I$1:$I$1001,,0)</f>
        <v>No</v>
      </c>
    </row>
    <row r="244" spans="1:16" x14ac:dyDescent="0.35">
      <c r="A244" s="2" t="s">
        <v>1854</v>
      </c>
      <c r="B244" s="4">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_xlfn.XLOOKUP(D244,products!$A$1:$A$49,products!$B$1:$B$49,,0)</f>
        <v>Exc</v>
      </c>
      <c r="J244" t="str">
        <f>_xlfn.XLOOKUP(D244,products!$A$1:$A$49,products!$C$1:$C$49,,0)</f>
        <v>D</v>
      </c>
      <c r="K244" s="7">
        <f>_xlfn.XLOOKUP(D244,products!$A$1:$A$49,products!$D$1:$D$49,,0)</f>
        <v>1</v>
      </c>
      <c r="L244" s="9">
        <f>_xlfn.XLOOKUP(D244,products!$A$1:$A$49,products!$E$1:$E$49,,0)</f>
        <v>12.15</v>
      </c>
      <c r="M244" s="9">
        <f t="shared" si="3"/>
        <v>36.450000000000003</v>
      </c>
      <c r="N244" s="3" t="str" cm="1">
        <f t="array" ref="N244">_xlfn.SWITCH(I244,
"Rob","Robusta",
"Exc","Excelsa",
"Ara","Arabica",
"Lib","Liberica",
"")</f>
        <v>Excelsa</v>
      </c>
      <c r="O244" t="str" cm="1">
        <f t="array" ref="O244">_xlfn.SWITCH(J244,
"M","Medium",
"L","Light",
"D","Dark",
"")</f>
        <v>Dark</v>
      </c>
      <c r="P244" t="str">
        <f>_xlfn.XLOOKUP(Orders[[#This Row],[Customer ID]],customers!$A$1:$A$1001,customers!$I$1:$I$1001,,0)</f>
        <v>Yes</v>
      </c>
    </row>
    <row r="245" spans="1:16" x14ac:dyDescent="0.35">
      <c r="A245" s="2" t="s">
        <v>1860</v>
      </c>
      <c r="B245" s="4">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_xlfn.XLOOKUP(D245,products!$A$1:$A$49,products!$B$1:$B$49,,0)</f>
        <v>Exc</v>
      </c>
      <c r="J245" t="str">
        <f>_xlfn.XLOOKUP(D245,products!$A$1:$A$49,products!$C$1:$C$49,,0)</f>
        <v>D</v>
      </c>
      <c r="K245" s="7">
        <f>_xlfn.XLOOKUP(D245,products!$A$1:$A$49,products!$D$1:$D$49,,0)</f>
        <v>0.5</v>
      </c>
      <c r="L245" s="9">
        <f>_xlfn.XLOOKUP(D245,products!$A$1:$A$49,products!$E$1:$E$49,,0)</f>
        <v>7.29</v>
      </c>
      <c r="M245" s="9">
        <f t="shared" si="3"/>
        <v>29.16</v>
      </c>
      <c r="N245" s="3" t="str" cm="1">
        <f t="array" ref="N245">_xlfn.SWITCH(I245,
"Rob","Robusta",
"Exc","Excelsa",
"Ara","Arabica",
"Lib","Liberica",
"")</f>
        <v>Excelsa</v>
      </c>
      <c r="O245" t="str" cm="1">
        <f t="array" ref="O245">_xlfn.SWITCH(J245,
"M","Medium",
"L","Light",
"D","Dark",
"")</f>
        <v>Dark</v>
      </c>
      <c r="P245" t="str">
        <f>_xlfn.XLOOKUP(Orders[[#This Row],[Customer ID]],customers!$A$1:$A$1001,customers!$I$1:$I$1001,,0)</f>
        <v>Yes</v>
      </c>
    </row>
    <row r="246" spans="1:16" x14ac:dyDescent="0.35">
      <c r="A246" s="2" t="s">
        <v>1866</v>
      </c>
      <c r="B246" s="4">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_xlfn.XLOOKUP(D246,products!$A$1:$A$49,products!$B$1:$B$49,,0)</f>
        <v>Lib</v>
      </c>
      <c r="J246" t="str">
        <f>_xlfn.XLOOKUP(D246,products!$A$1:$A$49,products!$C$1:$C$49,,0)</f>
        <v>M</v>
      </c>
      <c r="K246" s="7">
        <f>_xlfn.XLOOKUP(D246,products!$A$1:$A$49,products!$D$1:$D$49,,0)</f>
        <v>2.5</v>
      </c>
      <c r="L246" s="9">
        <f>_xlfn.XLOOKUP(D246,products!$A$1:$A$49,products!$E$1:$E$49,,0)</f>
        <v>33.464999999999996</v>
      </c>
      <c r="M246" s="9">
        <f t="shared" si="3"/>
        <v>133.85999999999999</v>
      </c>
      <c r="N246" s="3" t="str" cm="1">
        <f t="array" ref="N246">_xlfn.SWITCH(I246,
"Rob","Robusta",
"Exc","Excelsa",
"Ara","Arabica",
"Lib","Liberica",
"")</f>
        <v>Liberica</v>
      </c>
      <c r="O246" t="str" cm="1">
        <f t="array" ref="O246">_xlfn.SWITCH(J246,
"M","Medium",
"L","Light",
"D","Dark",
"")</f>
        <v>Medium</v>
      </c>
      <c r="P246" t="str">
        <f>_xlfn.XLOOKUP(Orders[[#This Row],[Customer ID]],customers!$A$1:$A$1001,customers!$I$1:$I$1001,,0)</f>
        <v>No</v>
      </c>
    </row>
    <row r="247" spans="1:16" x14ac:dyDescent="0.35">
      <c r="A247" s="2" t="s">
        <v>1872</v>
      </c>
      <c r="B247" s="4">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_xlfn.XLOOKUP(D247,products!$A$1:$A$49,products!$B$1:$B$49,,0)</f>
        <v>Lib</v>
      </c>
      <c r="J247" t="str">
        <f>_xlfn.XLOOKUP(D247,products!$A$1:$A$49,products!$C$1:$C$49,,0)</f>
        <v>L</v>
      </c>
      <c r="K247" s="7">
        <f>_xlfn.XLOOKUP(D247,products!$A$1:$A$49,products!$D$1:$D$49,,0)</f>
        <v>0.2</v>
      </c>
      <c r="L247" s="9">
        <f>_xlfn.XLOOKUP(D247,products!$A$1:$A$49,products!$E$1:$E$49,,0)</f>
        <v>4.7549999999999999</v>
      </c>
      <c r="M247" s="9">
        <f t="shared" si="3"/>
        <v>23.774999999999999</v>
      </c>
      <c r="N247" s="3" t="str" cm="1">
        <f t="array" ref="N247">_xlfn.SWITCH(I247,
"Rob","Robusta",
"Exc","Excelsa",
"Ara","Arabica",
"Lib","Liberica",
"")</f>
        <v>Liberica</v>
      </c>
      <c r="O247" t="str" cm="1">
        <f t="array" ref="O247">_xlfn.SWITCH(J247,
"M","Medium",
"L","Light",
"D","Dark",
"")</f>
        <v>Light</v>
      </c>
      <c r="P247" t="str">
        <f>_xlfn.XLOOKUP(Orders[[#This Row],[Customer ID]],customers!$A$1:$A$1001,customers!$I$1:$I$1001,,0)</f>
        <v>Yes</v>
      </c>
    </row>
    <row r="248" spans="1:16" x14ac:dyDescent="0.35">
      <c r="A248" s="2" t="s">
        <v>1878</v>
      </c>
      <c r="B248" s="4">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_xlfn.XLOOKUP(D248,products!$A$1:$A$49,products!$B$1:$B$49,,0)</f>
        <v>Lib</v>
      </c>
      <c r="J248" t="str">
        <f>_xlfn.XLOOKUP(D248,products!$A$1:$A$49,products!$C$1:$C$49,,0)</f>
        <v>D</v>
      </c>
      <c r="K248" s="7">
        <f>_xlfn.XLOOKUP(D248,products!$A$1:$A$49,products!$D$1:$D$49,,0)</f>
        <v>1</v>
      </c>
      <c r="L248" s="9">
        <f>_xlfn.XLOOKUP(D248,products!$A$1:$A$49,products!$E$1:$E$49,,0)</f>
        <v>12.95</v>
      </c>
      <c r="M248" s="9">
        <f t="shared" si="3"/>
        <v>38.849999999999994</v>
      </c>
      <c r="N248" s="3" t="str" cm="1">
        <f t="array" ref="N248">_xlfn.SWITCH(I248,
"Rob","Robusta",
"Exc","Excelsa",
"Ara","Arabica",
"Lib","Liberica",
"")</f>
        <v>Liberica</v>
      </c>
      <c r="O248" t="str" cm="1">
        <f t="array" ref="O248">_xlfn.SWITCH(J248,
"M","Medium",
"L","Light",
"D","Dark",
"")</f>
        <v>Dark</v>
      </c>
      <c r="P248" t="str">
        <f>_xlfn.XLOOKUP(Orders[[#This Row],[Customer ID]],customers!$A$1:$A$1001,customers!$I$1:$I$1001,,0)</f>
        <v>No</v>
      </c>
    </row>
    <row r="249" spans="1:16" x14ac:dyDescent="0.35">
      <c r="A249" s="2" t="s">
        <v>1884</v>
      </c>
      <c r="B249" s="4">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_xlfn.XLOOKUP(D249,products!$A$1:$A$49,products!$B$1:$B$49,,0)</f>
        <v>Rob</v>
      </c>
      <c r="J249" t="str">
        <f>_xlfn.XLOOKUP(D249,products!$A$1:$A$49,products!$C$1:$C$49,,0)</f>
        <v>L</v>
      </c>
      <c r="K249" s="7">
        <f>_xlfn.XLOOKUP(D249,products!$A$1:$A$49,products!$D$1:$D$49,,0)</f>
        <v>0.2</v>
      </c>
      <c r="L249" s="9">
        <f>_xlfn.XLOOKUP(D249,products!$A$1:$A$49,products!$E$1:$E$49,,0)</f>
        <v>3.5849999999999995</v>
      </c>
      <c r="M249" s="9">
        <f t="shared" si="3"/>
        <v>21.509999999999998</v>
      </c>
      <c r="N249" s="3" t="str" cm="1">
        <f t="array" ref="N249">_xlfn.SWITCH(I249,
"Rob","Robusta",
"Exc","Excelsa",
"Ara","Arabica",
"Lib","Liberica",
"")</f>
        <v>Robusta</v>
      </c>
      <c r="O249" t="str" cm="1">
        <f t="array" ref="O249">_xlfn.SWITCH(J249,
"M","Medium",
"L","Light",
"D","Dark",
"")</f>
        <v>Light</v>
      </c>
      <c r="P249" t="str">
        <f>_xlfn.XLOOKUP(Orders[[#This Row],[Customer ID]],customers!$A$1:$A$1001,customers!$I$1:$I$1001,,0)</f>
        <v>Yes</v>
      </c>
    </row>
    <row r="250" spans="1:16" x14ac:dyDescent="0.35">
      <c r="A250" s="2" t="s">
        <v>1889</v>
      </c>
      <c r="B250" s="4">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_xlfn.XLOOKUP(D250,products!$A$1:$A$49,products!$B$1:$B$49,,0)</f>
        <v>Ara</v>
      </c>
      <c r="J250" t="str">
        <f>_xlfn.XLOOKUP(D250,products!$A$1:$A$49,products!$C$1:$C$49,,0)</f>
        <v>D</v>
      </c>
      <c r="K250" s="7">
        <f>_xlfn.XLOOKUP(D250,products!$A$1:$A$49,products!$D$1:$D$49,,0)</f>
        <v>1</v>
      </c>
      <c r="L250" s="9">
        <f>_xlfn.XLOOKUP(D250,products!$A$1:$A$49,products!$E$1:$E$49,,0)</f>
        <v>9.9499999999999993</v>
      </c>
      <c r="M250" s="9">
        <f t="shared" si="3"/>
        <v>9.9499999999999993</v>
      </c>
      <c r="N250" s="3" t="str" cm="1">
        <f t="array" ref="N250">_xlfn.SWITCH(I250,
"Rob","Robusta",
"Exc","Excelsa",
"Ara","Arabica",
"Lib","Liberica",
"")</f>
        <v>Arabica</v>
      </c>
      <c r="O250" t="str" cm="1">
        <f t="array" ref="O250">_xlfn.SWITCH(J250,
"M","Medium",
"L","Light",
"D","Dark",
"")</f>
        <v>Dark</v>
      </c>
      <c r="P250" t="str">
        <f>_xlfn.XLOOKUP(Orders[[#This Row],[Customer ID]],customers!$A$1:$A$1001,customers!$I$1:$I$1001,,0)</f>
        <v>Yes</v>
      </c>
    </row>
    <row r="251" spans="1:16" x14ac:dyDescent="0.35">
      <c r="A251" s="2" t="s">
        <v>1895</v>
      </c>
      <c r="B251" s="4">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_xlfn.XLOOKUP(D251,products!$A$1:$A$49,products!$B$1:$B$49,,0)</f>
        <v>Lib</v>
      </c>
      <c r="J251" t="str">
        <f>_xlfn.XLOOKUP(D251,products!$A$1:$A$49,products!$C$1:$C$49,,0)</f>
        <v>L</v>
      </c>
      <c r="K251" s="7">
        <f>_xlfn.XLOOKUP(D251,products!$A$1:$A$49,products!$D$1:$D$49,,0)</f>
        <v>1</v>
      </c>
      <c r="L251" s="9">
        <f>_xlfn.XLOOKUP(D251,products!$A$1:$A$49,products!$E$1:$E$49,,0)</f>
        <v>15.85</v>
      </c>
      <c r="M251" s="9">
        <f t="shared" si="3"/>
        <v>15.85</v>
      </c>
      <c r="N251" s="3" t="str" cm="1">
        <f t="array" ref="N251">_xlfn.SWITCH(I251,
"Rob","Robusta",
"Exc","Excelsa",
"Ara","Arabica",
"Lib","Liberica",
"")</f>
        <v>Liberica</v>
      </c>
      <c r="O251" t="str" cm="1">
        <f t="array" ref="O251">_xlfn.SWITCH(J251,
"M","Medium",
"L","Light",
"D","Dark",
"")</f>
        <v>Light</v>
      </c>
      <c r="P251" t="str">
        <f>_xlfn.XLOOKUP(Orders[[#This Row],[Customer ID]],customers!$A$1:$A$1001,customers!$I$1:$I$1001,,0)</f>
        <v>Yes</v>
      </c>
    </row>
    <row r="252" spans="1:16" x14ac:dyDescent="0.35">
      <c r="A252" s="2" t="s">
        <v>1900</v>
      </c>
      <c r="B252" s="4">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_xlfn.XLOOKUP(D252,products!$A$1:$A$49,products!$B$1:$B$49,,0)</f>
        <v>Rob</v>
      </c>
      <c r="J252" t="str">
        <f>_xlfn.XLOOKUP(D252,products!$A$1:$A$49,products!$C$1:$C$49,,0)</f>
        <v>M</v>
      </c>
      <c r="K252" s="7">
        <f>_xlfn.XLOOKUP(D252,products!$A$1:$A$49,products!$D$1:$D$49,,0)</f>
        <v>0.2</v>
      </c>
      <c r="L252" s="9">
        <f>_xlfn.XLOOKUP(D252,products!$A$1:$A$49,products!$E$1:$E$49,,0)</f>
        <v>2.9849999999999999</v>
      </c>
      <c r="M252" s="9">
        <f t="shared" si="3"/>
        <v>2.9849999999999999</v>
      </c>
      <c r="N252" s="3" t="str" cm="1">
        <f t="array" ref="N252">_xlfn.SWITCH(I252,
"Rob","Robusta",
"Exc","Excelsa",
"Ara","Arabica",
"Lib","Liberica",
"")</f>
        <v>Robusta</v>
      </c>
      <c r="O252" t="str" cm="1">
        <f t="array" ref="O252">_xlfn.SWITCH(J252,
"M","Medium",
"L","Light",
"D","Dark",
"")</f>
        <v>Medium</v>
      </c>
      <c r="P252" t="str">
        <f>_xlfn.XLOOKUP(Orders[[#This Row],[Customer ID]],customers!$A$1:$A$1001,customers!$I$1:$I$1001,,0)</f>
        <v>Yes</v>
      </c>
    </row>
    <row r="253" spans="1:16" x14ac:dyDescent="0.35">
      <c r="A253" s="2" t="s">
        <v>1906</v>
      </c>
      <c r="B253" s="4">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_xlfn.XLOOKUP(D253,products!$A$1:$A$49,products!$B$1:$B$49,,0)</f>
        <v>Exc</v>
      </c>
      <c r="J253" t="str">
        <f>_xlfn.XLOOKUP(D253,products!$A$1:$A$49,products!$C$1:$C$49,,0)</f>
        <v>M</v>
      </c>
      <c r="K253" s="7">
        <f>_xlfn.XLOOKUP(D253,products!$A$1:$A$49,products!$D$1:$D$49,,0)</f>
        <v>1</v>
      </c>
      <c r="L253" s="9">
        <f>_xlfn.XLOOKUP(D253,products!$A$1:$A$49,products!$E$1:$E$49,,0)</f>
        <v>13.75</v>
      </c>
      <c r="M253" s="9">
        <f t="shared" si="3"/>
        <v>68.75</v>
      </c>
      <c r="N253" s="3" t="str" cm="1">
        <f t="array" ref="N253">_xlfn.SWITCH(I253,
"Rob","Robusta",
"Exc","Excelsa",
"Ara","Arabica",
"Lib","Liberica",
"")</f>
        <v>Excelsa</v>
      </c>
      <c r="O253" t="str" cm="1">
        <f t="array" ref="O253">_xlfn.SWITCH(J253,
"M","Medium",
"L","Light",
"D","Dark",
"")</f>
        <v>Medium</v>
      </c>
      <c r="P253" t="str">
        <f>_xlfn.XLOOKUP(Orders[[#This Row],[Customer ID]],customers!$A$1:$A$1001,customers!$I$1:$I$1001,,0)</f>
        <v>Yes</v>
      </c>
    </row>
    <row r="254" spans="1:16" x14ac:dyDescent="0.35">
      <c r="A254" s="2" t="s">
        <v>1912</v>
      </c>
      <c r="B254" s="4">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_xlfn.XLOOKUP(D254,products!$A$1:$A$49,products!$B$1:$B$49,,0)</f>
        <v>Ara</v>
      </c>
      <c r="J254" t="str">
        <f>_xlfn.XLOOKUP(D254,products!$A$1:$A$49,products!$C$1:$C$49,,0)</f>
        <v>D</v>
      </c>
      <c r="K254" s="7">
        <f>_xlfn.XLOOKUP(D254,products!$A$1:$A$49,products!$D$1:$D$49,,0)</f>
        <v>1</v>
      </c>
      <c r="L254" s="9">
        <f>_xlfn.XLOOKUP(D254,products!$A$1:$A$49,products!$E$1:$E$49,,0)</f>
        <v>9.9499999999999993</v>
      </c>
      <c r="M254" s="9">
        <f t="shared" si="3"/>
        <v>29.849999999999998</v>
      </c>
      <c r="N254" s="3" t="str" cm="1">
        <f t="array" ref="N254">_xlfn.SWITCH(I254,
"Rob","Robusta",
"Exc","Excelsa",
"Ara","Arabica",
"Lib","Liberica",
"")</f>
        <v>Arabica</v>
      </c>
      <c r="O254" t="str" cm="1">
        <f t="array" ref="O254">_xlfn.SWITCH(J254,
"M","Medium",
"L","Light",
"D","Dark",
"")</f>
        <v>Dark</v>
      </c>
      <c r="P254" t="str">
        <f>_xlfn.XLOOKUP(Orders[[#This Row],[Customer ID]],customers!$A$1:$A$1001,customers!$I$1:$I$1001,,0)</f>
        <v>No</v>
      </c>
    </row>
    <row r="255" spans="1:16" x14ac:dyDescent="0.35">
      <c r="A255" s="2" t="s">
        <v>1917</v>
      </c>
      <c r="B255" s="4">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_xlfn.XLOOKUP(D255,products!$A$1:$A$49,products!$B$1:$B$49,,0)</f>
        <v>Lib</v>
      </c>
      <c r="J255" t="str">
        <f>_xlfn.XLOOKUP(D255,products!$A$1:$A$49,products!$C$1:$C$49,,0)</f>
        <v>M</v>
      </c>
      <c r="K255" s="7">
        <f>_xlfn.XLOOKUP(D255,products!$A$1:$A$49,products!$D$1:$D$49,,0)</f>
        <v>1</v>
      </c>
      <c r="L255" s="9">
        <f>_xlfn.XLOOKUP(D255,products!$A$1:$A$49,products!$E$1:$E$49,,0)</f>
        <v>14.55</v>
      </c>
      <c r="M255" s="9">
        <f t="shared" si="3"/>
        <v>58.2</v>
      </c>
      <c r="N255" s="3" t="str" cm="1">
        <f t="array" ref="N255">_xlfn.SWITCH(I255,
"Rob","Robusta",
"Exc","Excelsa",
"Ara","Arabica",
"Lib","Liberica",
"")</f>
        <v>Liberica</v>
      </c>
      <c r="O255" t="str" cm="1">
        <f t="array" ref="O255">_xlfn.SWITCH(J255,
"M","Medium",
"L","Light",
"D","Dark",
"")</f>
        <v>Medium</v>
      </c>
      <c r="P255" t="str">
        <f>_xlfn.XLOOKUP(Orders[[#This Row],[Customer ID]],customers!$A$1:$A$1001,customers!$I$1:$I$1001,,0)</f>
        <v>No</v>
      </c>
    </row>
    <row r="256" spans="1:16" x14ac:dyDescent="0.35">
      <c r="A256" s="2" t="s">
        <v>1923</v>
      </c>
      <c r="B256" s="4">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_xlfn.XLOOKUP(D256,products!$A$1:$A$49,products!$B$1:$B$49,,0)</f>
        <v>Rob</v>
      </c>
      <c r="J256" t="str">
        <f>_xlfn.XLOOKUP(D256,products!$A$1:$A$49,products!$C$1:$C$49,,0)</f>
        <v>L</v>
      </c>
      <c r="K256" s="7">
        <f>_xlfn.XLOOKUP(D256,products!$A$1:$A$49,products!$D$1:$D$49,,0)</f>
        <v>0.5</v>
      </c>
      <c r="L256" s="9">
        <f>_xlfn.XLOOKUP(D256,products!$A$1:$A$49,products!$E$1:$E$49,,0)</f>
        <v>7.169999999999999</v>
      </c>
      <c r="M256" s="9">
        <f t="shared" si="3"/>
        <v>28.679999999999996</v>
      </c>
      <c r="N256" s="3" t="str" cm="1">
        <f t="array" ref="N256">_xlfn.SWITCH(I256,
"Rob","Robusta",
"Exc","Excelsa",
"Ara","Arabica",
"Lib","Liberica",
"")</f>
        <v>Robusta</v>
      </c>
      <c r="O256" t="str" cm="1">
        <f t="array" ref="O256">_xlfn.SWITCH(J256,
"M","Medium",
"L","Light",
"D","Dark",
"")</f>
        <v>Light</v>
      </c>
      <c r="P256" t="str">
        <f>_xlfn.XLOOKUP(Orders[[#This Row],[Customer ID]],customers!$A$1:$A$1001,customers!$I$1:$I$1001,,0)</f>
        <v>No</v>
      </c>
    </row>
    <row r="257" spans="1:16" x14ac:dyDescent="0.35">
      <c r="A257" s="2" t="s">
        <v>1928</v>
      </c>
      <c r="B257" s="4">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_xlfn.XLOOKUP(D257,products!$A$1:$A$49,products!$B$1:$B$49,,0)</f>
        <v>Rob</v>
      </c>
      <c r="J257" t="str">
        <f>_xlfn.XLOOKUP(D257,products!$A$1:$A$49,products!$C$1:$C$49,,0)</f>
        <v>L</v>
      </c>
      <c r="K257" s="7">
        <f>_xlfn.XLOOKUP(D257,products!$A$1:$A$49,products!$D$1:$D$49,,0)</f>
        <v>0.5</v>
      </c>
      <c r="L257" s="9">
        <f>_xlfn.XLOOKUP(D257,products!$A$1:$A$49,products!$E$1:$E$49,,0)</f>
        <v>7.169999999999999</v>
      </c>
      <c r="M257" s="9">
        <f t="shared" si="3"/>
        <v>21.509999999999998</v>
      </c>
      <c r="N257" s="3" t="str" cm="1">
        <f t="array" ref="N257">_xlfn.SWITCH(I257,
"Rob","Robusta",
"Exc","Excelsa",
"Ara","Arabica",
"Lib","Liberica",
"")</f>
        <v>Robusta</v>
      </c>
      <c r="O257" t="str" cm="1">
        <f t="array" ref="O257">_xlfn.SWITCH(J257,
"M","Medium",
"L","Light",
"D","Dark",
"")</f>
        <v>Light</v>
      </c>
      <c r="P257" t="str">
        <f>_xlfn.XLOOKUP(Orders[[#This Row],[Customer ID]],customers!$A$1:$A$1001,customers!$I$1:$I$1001,,0)</f>
        <v>No</v>
      </c>
    </row>
    <row r="258" spans="1:16" x14ac:dyDescent="0.35">
      <c r="A258" s="2" t="s">
        <v>1934</v>
      </c>
      <c r="B258" s="4">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_xlfn.XLOOKUP(D258,products!$A$1:$A$49,products!$B$1:$B$49,,0)</f>
        <v>Lib</v>
      </c>
      <c r="J258" t="str">
        <f>_xlfn.XLOOKUP(D258,products!$A$1:$A$49,products!$C$1:$C$49,,0)</f>
        <v>M</v>
      </c>
      <c r="K258" s="7">
        <f>_xlfn.XLOOKUP(D258,products!$A$1:$A$49,products!$D$1:$D$49,,0)</f>
        <v>0.5</v>
      </c>
      <c r="L258" s="9">
        <f>_xlfn.XLOOKUP(D258,products!$A$1:$A$49,products!$E$1:$E$49,,0)</f>
        <v>8.73</v>
      </c>
      <c r="M258" s="9">
        <f t="shared" si="3"/>
        <v>17.46</v>
      </c>
      <c r="N258" s="3" t="str" cm="1">
        <f t="array" ref="N258">_xlfn.SWITCH(I258,
"Rob","Robusta",
"Exc","Excelsa",
"Ara","Arabica",
"Lib","Liberica",
"")</f>
        <v>Liberica</v>
      </c>
      <c r="O258" t="str" cm="1">
        <f t="array" ref="O258">_xlfn.SWITCH(J258,
"M","Medium",
"L","Light",
"D","Dark",
"")</f>
        <v>Medium</v>
      </c>
      <c r="P258" t="str">
        <f>_xlfn.XLOOKUP(Orders[[#This Row],[Customer ID]],customers!$A$1:$A$1001,customers!$I$1:$I$1001,,0)</f>
        <v>Yes</v>
      </c>
    </row>
    <row r="259" spans="1:16" x14ac:dyDescent="0.35">
      <c r="A259" s="2" t="s">
        <v>1940</v>
      </c>
      <c r="B259" s="4">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_xlfn.XLOOKUP(D259,products!$A$1:$A$49,products!$B$1:$B$49,,0)</f>
        <v>Exc</v>
      </c>
      <c r="J259" t="str">
        <f>_xlfn.XLOOKUP(D259,products!$A$1:$A$49,products!$C$1:$C$49,,0)</f>
        <v>D</v>
      </c>
      <c r="K259" s="7">
        <f>_xlfn.XLOOKUP(D259,products!$A$1:$A$49,products!$D$1:$D$49,,0)</f>
        <v>2.5</v>
      </c>
      <c r="L259" s="9">
        <f>_xlfn.XLOOKUP(D259,products!$A$1:$A$49,products!$E$1:$E$49,,0)</f>
        <v>27.945</v>
      </c>
      <c r="M259" s="9">
        <f t="shared" ref="M259:M322" si="4">L259*E259</f>
        <v>27.945</v>
      </c>
      <c r="N259" s="3" t="str" cm="1">
        <f t="array" ref="N259">_xlfn.SWITCH(I259,
"Rob","Robusta",
"Exc","Excelsa",
"Ara","Arabica",
"Lib","Liberica",
"")</f>
        <v>Excelsa</v>
      </c>
      <c r="O259" t="str" cm="1">
        <f t="array" ref="O259">_xlfn.SWITCH(J259,
"M","Medium",
"L","Light",
"D","Dark",
"")</f>
        <v>Dark</v>
      </c>
      <c r="P259" t="str">
        <f>_xlfn.XLOOKUP(Orders[[#This Row],[Customer ID]],customers!$A$1:$A$1001,customers!$I$1:$I$1001,,0)</f>
        <v>Yes</v>
      </c>
    </row>
    <row r="260" spans="1:16" x14ac:dyDescent="0.35">
      <c r="A260" s="2" t="s">
        <v>1946</v>
      </c>
      <c r="B260" s="4">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_xlfn.XLOOKUP(D260,products!$A$1:$A$49,products!$B$1:$B$49,,0)</f>
        <v>Exc</v>
      </c>
      <c r="J260" t="str">
        <f>_xlfn.XLOOKUP(D260,products!$A$1:$A$49,products!$C$1:$C$49,,0)</f>
        <v>D</v>
      </c>
      <c r="K260" s="7">
        <f>_xlfn.XLOOKUP(D260,products!$A$1:$A$49,products!$D$1:$D$49,,0)</f>
        <v>2.5</v>
      </c>
      <c r="L260" s="9">
        <f>_xlfn.XLOOKUP(D260,products!$A$1:$A$49,products!$E$1:$E$49,,0)</f>
        <v>27.945</v>
      </c>
      <c r="M260" s="9">
        <f t="shared" si="4"/>
        <v>139.72499999999999</v>
      </c>
      <c r="N260" s="3" t="str" cm="1">
        <f t="array" ref="N260">_xlfn.SWITCH(I260,
"Rob","Robusta",
"Exc","Excelsa",
"Ara","Arabica",
"Lib","Liberica",
"")</f>
        <v>Excelsa</v>
      </c>
      <c r="O260" t="str" cm="1">
        <f t="array" ref="O260">_xlfn.SWITCH(J260,
"M","Medium",
"L","Light",
"D","Dark",
"")</f>
        <v>Dark</v>
      </c>
      <c r="P260" t="str">
        <f>_xlfn.XLOOKUP(Orders[[#This Row],[Customer ID]],customers!$A$1:$A$1001,customers!$I$1:$I$1001,,0)</f>
        <v>No</v>
      </c>
    </row>
    <row r="261" spans="1:16" x14ac:dyDescent="0.35">
      <c r="A261" s="2" t="s">
        <v>1952</v>
      </c>
      <c r="B261" s="4">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_xlfn.XLOOKUP(D261,products!$A$1:$A$49,products!$B$1:$B$49,,0)</f>
        <v>Rob</v>
      </c>
      <c r="J261" t="str">
        <f>_xlfn.XLOOKUP(D261,products!$A$1:$A$49,products!$C$1:$C$49,,0)</f>
        <v>M</v>
      </c>
      <c r="K261" s="7">
        <f>_xlfn.XLOOKUP(D261,products!$A$1:$A$49,products!$D$1:$D$49,,0)</f>
        <v>0.2</v>
      </c>
      <c r="L261" s="9">
        <f>_xlfn.XLOOKUP(D261,products!$A$1:$A$49,products!$E$1:$E$49,,0)</f>
        <v>2.9849999999999999</v>
      </c>
      <c r="M261" s="9">
        <f t="shared" si="4"/>
        <v>5.97</v>
      </c>
      <c r="N261" s="3" t="str" cm="1">
        <f t="array" ref="N261">_xlfn.SWITCH(I261,
"Rob","Robusta",
"Exc","Excelsa",
"Ara","Arabica",
"Lib","Liberica",
"")</f>
        <v>Robusta</v>
      </c>
      <c r="O261" t="str" cm="1">
        <f t="array" ref="O261">_xlfn.SWITCH(J261,
"M","Medium",
"L","Light",
"D","Dark",
"")</f>
        <v>Medium</v>
      </c>
      <c r="P261" t="str">
        <f>_xlfn.XLOOKUP(Orders[[#This Row],[Customer ID]],customers!$A$1:$A$1001,customers!$I$1:$I$1001,,0)</f>
        <v>No</v>
      </c>
    </row>
    <row r="262" spans="1:16" x14ac:dyDescent="0.35">
      <c r="A262" s="2" t="s">
        <v>1958</v>
      </c>
      <c r="B262" s="4">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_xlfn.XLOOKUP(D262,products!$A$1:$A$49,products!$B$1:$B$49,,0)</f>
        <v>Rob</v>
      </c>
      <c r="J262" t="str">
        <f>_xlfn.XLOOKUP(D262,products!$A$1:$A$49,products!$C$1:$C$49,,0)</f>
        <v>L</v>
      </c>
      <c r="K262" s="7">
        <f>_xlfn.XLOOKUP(D262,products!$A$1:$A$49,products!$D$1:$D$49,,0)</f>
        <v>2.5</v>
      </c>
      <c r="L262" s="9">
        <f>_xlfn.XLOOKUP(D262,products!$A$1:$A$49,products!$E$1:$E$49,,0)</f>
        <v>27.484999999999996</v>
      </c>
      <c r="M262" s="9">
        <f t="shared" si="4"/>
        <v>27.484999999999996</v>
      </c>
      <c r="N262" s="3" t="str" cm="1">
        <f t="array" ref="N262">_xlfn.SWITCH(I262,
"Rob","Robusta",
"Exc","Excelsa",
"Ara","Arabica",
"Lib","Liberica",
"")</f>
        <v>Robusta</v>
      </c>
      <c r="O262" t="str" cm="1">
        <f t="array" ref="O262">_xlfn.SWITCH(J262,
"M","Medium",
"L","Light",
"D","Dark",
"")</f>
        <v>Light</v>
      </c>
      <c r="P262" t="str">
        <f>_xlfn.XLOOKUP(Orders[[#This Row],[Customer ID]],customers!$A$1:$A$1001,customers!$I$1:$I$1001,,0)</f>
        <v>Yes</v>
      </c>
    </row>
    <row r="263" spans="1:16" x14ac:dyDescent="0.35">
      <c r="A263" s="2" t="s">
        <v>1963</v>
      </c>
      <c r="B263" s="4">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_xlfn.XLOOKUP(D263,products!$A$1:$A$49,products!$B$1:$B$49,,0)</f>
        <v>Rob</v>
      </c>
      <c r="J263" t="str">
        <f>_xlfn.XLOOKUP(D263,products!$A$1:$A$49,products!$C$1:$C$49,,0)</f>
        <v>L</v>
      </c>
      <c r="K263" s="7">
        <f>_xlfn.XLOOKUP(D263,products!$A$1:$A$49,products!$D$1:$D$49,,0)</f>
        <v>1</v>
      </c>
      <c r="L263" s="9">
        <f>_xlfn.XLOOKUP(D263,products!$A$1:$A$49,products!$E$1:$E$49,,0)</f>
        <v>11.95</v>
      </c>
      <c r="M263" s="9">
        <f t="shared" si="4"/>
        <v>59.75</v>
      </c>
      <c r="N263" s="3" t="str" cm="1">
        <f t="array" ref="N263">_xlfn.SWITCH(I263,
"Rob","Robusta",
"Exc","Excelsa",
"Ara","Arabica",
"Lib","Liberica",
"")</f>
        <v>Robusta</v>
      </c>
      <c r="O263" t="str" cm="1">
        <f t="array" ref="O263">_xlfn.SWITCH(J263,
"M","Medium",
"L","Light",
"D","Dark",
"")</f>
        <v>Light</v>
      </c>
      <c r="P263" t="str">
        <f>_xlfn.XLOOKUP(Orders[[#This Row],[Customer ID]],customers!$A$1:$A$1001,customers!$I$1:$I$1001,,0)</f>
        <v>Yes</v>
      </c>
    </row>
    <row r="264" spans="1:16" x14ac:dyDescent="0.35">
      <c r="A264" s="2" t="s">
        <v>1969</v>
      </c>
      <c r="B264" s="4">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_xlfn.XLOOKUP(D264,products!$A$1:$A$49,products!$B$1:$B$49,,0)</f>
        <v>Exc</v>
      </c>
      <c r="J264" t="str">
        <f>_xlfn.XLOOKUP(D264,products!$A$1:$A$49,products!$C$1:$C$49,,0)</f>
        <v>M</v>
      </c>
      <c r="K264" s="7">
        <f>_xlfn.XLOOKUP(D264,products!$A$1:$A$49,products!$D$1:$D$49,,0)</f>
        <v>1</v>
      </c>
      <c r="L264" s="9">
        <f>_xlfn.XLOOKUP(D264,products!$A$1:$A$49,products!$E$1:$E$49,,0)</f>
        <v>13.75</v>
      </c>
      <c r="M264" s="9">
        <f t="shared" si="4"/>
        <v>41.25</v>
      </c>
      <c r="N264" s="3" t="str" cm="1">
        <f t="array" ref="N264">_xlfn.SWITCH(I264,
"Rob","Robusta",
"Exc","Excelsa",
"Ara","Arabica",
"Lib","Liberica",
"")</f>
        <v>Excelsa</v>
      </c>
      <c r="O264" t="str" cm="1">
        <f t="array" ref="O264">_xlfn.SWITCH(J264,
"M","Medium",
"L","Light",
"D","Dark",
"")</f>
        <v>Medium</v>
      </c>
      <c r="P264" t="str">
        <f>_xlfn.XLOOKUP(Orders[[#This Row],[Customer ID]],customers!$A$1:$A$1001,customers!$I$1:$I$1001,,0)</f>
        <v>No</v>
      </c>
    </row>
    <row r="265" spans="1:16" x14ac:dyDescent="0.35">
      <c r="A265" s="2" t="s">
        <v>1975</v>
      </c>
      <c r="B265" s="4">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_xlfn.XLOOKUP(D265,products!$A$1:$A$49,products!$B$1:$B$49,,0)</f>
        <v>Lib</v>
      </c>
      <c r="J265" t="str">
        <f>_xlfn.XLOOKUP(D265,products!$A$1:$A$49,products!$C$1:$C$49,,0)</f>
        <v>M</v>
      </c>
      <c r="K265" s="7">
        <f>_xlfn.XLOOKUP(D265,products!$A$1:$A$49,products!$D$1:$D$49,,0)</f>
        <v>2.5</v>
      </c>
      <c r="L265" s="9">
        <f>_xlfn.XLOOKUP(D265,products!$A$1:$A$49,products!$E$1:$E$49,,0)</f>
        <v>33.464999999999996</v>
      </c>
      <c r="M265" s="9">
        <f t="shared" si="4"/>
        <v>133.85999999999999</v>
      </c>
      <c r="N265" s="3" t="str" cm="1">
        <f t="array" ref="N265">_xlfn.SWITCH(I265,
"Rob","Robusta",
"Exc","Excelsa",
"Ara","Arabica",
"Lib","Liberica",
"")</f>
        <v>Liberica</v>
      </c>
      <c r="O265" t="str" cm="1">
        <f t="array" ref="O265">_xlfn.SWITCH(J265,
"M","Medium",
"L","Light",
"D","Dark",
"")</f>
        <v>Medium</v>
      </c>
      <c r="P265" t="str">
        <f>_xlfn.XLOOKUP(Orders[[#This Row],[Customer ID]],customers!$A$1:$A$1001,customers!$I$1:$I$1001,,0)</f>
        <v>No</v>
      </c>
    </row>
    <row r="266" spans="1:16" x14ac:dyDescent="0.35">
      <c r="A266" s="2" t="s">
        <v>1980</v>
      </c>
      <c r="B266" s="4">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_xlfn.XLOOKUP(D266,products!$A$1:$A$49,products!$B$1:$B$49,,0)</f>
        <v>Rob</v>
      </c>
      <c r="J266" t="str">
        <f>_xlfn.XLOOKUP(D266,products!$A$1:$A$49,products!$C$1:$C$49,,0)</f>
        <v>L</v>
      </c>
      <c r="K266" s="7">
        <f>_xlfn.XLOOKUP(D266,products!$A$1:$A$49,products!$D$1:$D$49,,0)</f>
        <v>1</v>
      </c>
      <c r="L266" s="9">
        <f>_xlfn.XLOOKUP(D266,products!$A$1:$A$49,products!$E$1:$E$49,,0)</f>
        <v>11.95</v>
      </c>
      <c r="M266" s="9">
        <f t="shared" si="4"/>
        <v>59.75</v>
      </c>
      <c r="N266" s="3" t="str" cm="1">
        <f t="array" ref="N266">_xlfn.SWITCH(I266,
"Rob","Robusta",
"Exc","Excelsa",
"Ara","Arabica",
"Lib","Liberica",
"")</f>
        <v>Robusta</v>
      </c>
      <c r="O266" t="str" cm="1">
        <f t="array" ref="O266">_xlfn.SWITCH(J266,
"M","Medium",
"L","Light",
"D","Dark",
"")</f>
        <v>Light</v>
      </c>
      <c r="P266" t="str">
        <f>_xlfn.XLOOKUP(Orders[[#This Row],[Customer ID]],customers!$A$1:$A$1001,customers!$I$1:$I$1001,,0)</f>
        <v>Yes</v>
      </c>
    </row>
    <row r="267" spans="1:16" x14ac:dyDescent="0.35">
      <c r="A267" s="2" t="s">
        <v>1986</v>
      </c>
      <c r="B267" s="4">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_xlfn.XLOOKUP(D267,products!$A$1:$A$49,products!$B$1:$B$49,,0)</f>
        <v>Ara</v>
      </c>
      <c r="J267" t="str">
        <f>_xlfn.XLOOKUP(D267,products!$A$1:$A$49,products!$C$1:$C$49,,0)</f>
        <v>D</v>
      </c>
      <c r="K267" s="7">
        <f>_xlfn.XLOOKUP(D267,products!$A$1:$A$49,products!$D$1:$D$49,,0)</f>
        <v>0.5</v>
      </c>
      <c r="L267" s="9">
        <f>_xlfn.XLOOKUP(D267,products!$A$1:$A$49,products!$E$1:$E$49,,0)</f>
        <v>5.97</v>
      </c>
      <c r="M267" s="9">
        <f t="shared" si="4"/>
        <v>5.97</v>
      </c>
      <c r="N267" s="3" t="str" cm="1">
        <f t="array" ref="N267">_xlfn.SWITCH(I267,
"Rob","Robusta",
"Exc","Excelsa",
"Ara","Arabica",
"Lib","Liberica",
"")</f>
        <v>Arabica</v>
      </c>
      <c r="O267" t="str" cm="1">
        <f t="array" ref="O267">_xlfn.SWITCH(J267,
"M","Medium",
"L","Light",
"D","Dark",
"")</f>
        <v>Dark</v>
      </c>
      <c r="P267" t="str">
        <f>_xlfn.XLOOKUP(Orders[[#This Row],[Customer ID]],customers!$A$1:$A$1001,customers!$I$1:$I$1001,,0)</f>
        <v>Yes</v>
      </c>
    </row>
    <row r="268" spans="1:16" x14ac:dyDescent="0.35">
      <c r="A268" s="2" t="s">
        <v>1992</v>
      </c>
      <c r="B268" s="4">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_xlfn.XLOOKUP(D268,products!$A$1:$A$49,products!$B$1:$B$49,,0)</f>
        <v>Exc</v>
      </c>
      <c r="J268" t="str">
        <f>_xlfn.XLOOKUP(D268,products!$A$1:$A$49,products!$C$1:$C$49,,0)</f>
        <v>D</v>
      </c>
      <c r="K268" s="7">
        <f>_xlfn.XLOOKUP(D268,products!$A$1:$A$49,products!$D$1:$D$49,,0)</f>
        <v>1</v>
      </c>
      <c r="L268" s="9">
        <f>_xlfn.XLOOKUP(D268,products!$A$1:$A$49,products!$E$1:$E$49,,0)</f>
        <v>12.15</v>
      </c>
      <c r="M268" s="9">
        <f t="shared" si="4"/>
        <v>24.3</v>
      </c>
      <c r="N268" s="3" t="str" cm="1">
        <f t="array" ref="N268">_xlfn.SWITCH(I268,
"Rob","Robusta",
"Exc","Excelsa",
"Ara","Arabica",
"Lib","Liberica",
"")</f>
        <v>Excelsa</v>
      </c>
      <c r="O268" t="str" cm="1">
        <f t="array" ref="O268">_xlfn.SWITCH(J268,
"M","Medium",
"L","Light",
"D","Dark",
"")</f>
        <v>Dark</v>
      </c>
      <c r="P268" t="str">
        <f>_xlfn.XLOOKUP(Orders[[#This Row],[Customer ID]],customers!$A$1:$A$1001,customers!$I$1:$I$1001,,0)</f>
        <v>No</v>
      </c>
    </row>
    <row r="269" spans="1:16" x14ac:dyDescent="0.35">
      <c r="A269" s="2" t="s">
        <v>1998</v>
      </c>
      <c r="B269" s="4">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_xlfn.XLOOKUP(D269,products!$A$1:$A$49,products!$B$1:$B$49,,0)</f>
        <v>Exc</v>
      </c>
      <c r="J269" t="str">
        <f>_xlfn.XLOOKUP(D269,products!$A$1:$A$49,products!$C$1:$C$49,,0)</f>
        <v>D</v>
      </c>
      <c r="K269" s="7">
        <f>_xlfn.XLOOKUP(D269,products!$A$1:$A$49,products!$D$1:$D$49,,0)</f>
        <v>0.2</v>
      </c>
      <c r="L269" s="9">
        <f>_xlfn.XLOOKUP(D269,products!$A$1:$A$49,products!$E$1:$E$49,,0)</f>
        <v>3.645</v>
      </c>
      <c r="M269" s="9">
        <f t="shared" si="4"/>
        <v>21.87</v>
      </c>
      <c r="N269" s="3" t="str" cm="1">
        <f t="array" ref="N269">_xlfn.SWITCH(I269,
"Rob","Robusta",
"Exc","Excelsa",
"Ara","Arabica",
"Lib","Liberica",
"")</f>
        <v>Excelsa</v>
      </c>
      <c r="O269" t="str" cm="1">
        <f t="array" ref="O269">_xlfn.SWITCH(J269,
"M","Medium",
"L","Light",
"D","Dark",
"")</f>
        <v>Dark</v>
      </c>
      <c r="P269" t="str">
        <f>_xlfn.XLOOKUP(Orders[[#This Row],[Customer ID]],customers!$A$1:$A$1001,customers!$I$1:$I$1001,,0)</f>
        <v>Yes</v>
      </c>
    </row>
    <row r="270" spans="1:16" x14ac:dyDescent="0.35">
      <c r="A270" s="2" t="s">
        <v>2004</v>
      </c>
      <c r="B270" s="4">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_xlfn.XLOOKUP(D270,products!$A$1:$A$49,products!$B$1:$B$49,,0)</f>
        <v>Ara</v>
      </c>
      <c r="J270" t="str">
        <f>_xlfn.XLOOKUP(D270,products!$A$1:$A$49,products!$C$1:$C$49,,0)</f>
        <v>D</v>
      </c>
      <c r="K270" s="7">
        <f>_xlfn.XLOOKUP(D270,products!$A$1:$A$49,products!$D$1:$D$49,,0)</f>
        <v>1</v>
      </c>
      <c r="L270" s="9">
        <f>_xlfn.XLOOKUP(D270,products!$A$1:$A$49,products!$E$1:$E$49,,0)</f>
        <v>9.9499999999999993</v>
      </c>
      <c r="M270" s="9">
        <f t="shared" si="4"/>
        <v>19.899999999999999</v>
      </c>
      <c r="N270" s="3" t="str" cm="1">
        <f t="array" ref="N270">_xlfn.SWITCH(I270,
"Rob","Robusta",
"Exc","Excelsa",
"Ara","Arabica",
"Lib","Liberica",
"")</f>
        <v>Arabica</v>
      </c>
      <c r="O270" t="str" cm="1">
        <f t="array" ref="O270">_xlfn.SWITCH(J270,
"M","Medium",
"L","Light",
"D","Dark",
"")</f>
        <v>Dark</v>
      </c>
      <c r="P270" t="str">
        <f>_xlfn.XLOOKUP(Orders[[#This Row],[Customer ID]],customers!$A$1:$A$1001,customers!$I$1:$I$1001,,0)</f>
        <v>Yes</v>
      </c>
    </row>
    <row r="271" spans="1:16" x14ac:dyDescent="0.35">
      <c r="A271" s="2" t="s">
        <v>2009</v>
      </c>
      <c r="B271" s="4">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_xlfn.XLOOKUP(D271,products!$A$1:$A$49,products!$B$1:$B$49,,0)</f>
        <v>Ara</v>
      </c>
      <c r="J271" t="str">
        <f>_xlfn.XLOOKUP(D271,products!$A$1:$A$49,products!$C$1:$C$49,,0)</f>
        <v>D</v>
      </c>
      <c r="K271" s="7">
        <f>_xlfn.XLOOKUP(D271,products!$A$1:$A$49,products!$D$1:$D$49,,0)</f>
        <v>0.2</v>
      </c>
      <c r="L271" s="9">
        <f>_xlfn.XLOOKUP(D271,products!$A$1:$A$49,products!$E$1:$E$49,,0)</f>
        <v>2.9849999999999999</v>
      </c>
      <c r="M271" s="9">
        <f t="shared" si="4"/>
        <v>5.97</v>
      </c>
      <c r="N271" s="3" t="str" cm="1">
        <f t="array" ref="N271">_xlfn.SWITCH(I271,
"Rob","Robusta",
"Exc","Excelsa",
"Ara","Arabica",
"Lib","Liberica",
"")</f>
        <v>Arabica</v>
      </c>
      <c r="O271" t="str" cm="1">
        <f t="array" ref="O271">_xlfn.SWITCH(J271,
"M","Medium",
"L","Light",
"D","Dark",
"")</f>
        <v>Dark</v>
      </c>
      <c r="P271" t="str">
        <f>_xlfn.XLOOKUP(Orders[[#This Row],[Customer ID]],customers!$A$1:$A$1001,customers!$I$1:$I$1001,,0)</f>
        <v>No</v>
      </c>
    </row>
    <row r="272" spans="1:16" x14ac:dyDescent="0.35">
      <c r="A272" s="2" t="s">
        <v>2015</v>
      </c>
      <c r="B272" s="4">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_xlfn.XLOOKUP(D272,products!$A$1:$A$49,products!$B$1:$B$49,,0)</f>
        <v>Exc</v>
      </c>
      <c r="J272" t="str">
        <f>_xlfn.XLOOKUP(D272,products!$A$1:$A$49,products!$C$1:$C$49,,0)</f>
        <v>D</v>
      </c>
      <c r="K272" s="7">
        <f>_xlfn.XLOOKUP(D272,products!$A$1:$A$49,products!$D$1:$D$49,,0)</f>
        <v>0.5</v>
      </c>
      <c r="L272" s="9">
        <f>_xlfn.XLOOKUP(D272,products!$A$1:$A$49,products!$E$1:$E$49,,0)</f>
        <v>7.29</v>
      </c>
      <c r="M272" s="9">
        <f t="shared" si="4"/>
        <v>7.29</v>
      </c>
      <c r="N272" s="3" t="str" cm="1">
        <f t="array" ref="N272">_xlfn.SWITCH(I272,
"Rob","Robusta",
"Exc","Excelsa",
"Ara","Arabica",
"Lib","Liberica",
"")</f>
        <v>Excelsa</v>
      </c>
      <c r="O272" t="str" cm="1">
        <f t="array" ref="O272">_xlfn.SWITCH(J272,
"M","Medium",
"L","Light",
"D","Dark",
"")</f>
        <v>Dark</v>
      </c>
      <c r="P272" t="str">
        <f>_xlfn.XLOOKUP(Orders[[#This Row],[Customer ID]],customers!$A$1:$A$1001,customers!$I$1:$I$1001,,0)</f>
        <v>Yes</v>
      </c>
    </row>
    <row r="273" spans="1:16" x14ac:dyDescent="0.35">
      <c r="A273" s="2" t="s">
        <v>2019</v>
      </c>
      <c r="B273" s="4">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_xlfn.XLOOKUP(D273,products!$A$1:$A$49,products!$B$1:$B$49,,0)</f>
        <v>Ara</v>
      </c>
      <c r="J273" t="str">
        <f>_xlfn.XLOOKUP(D273,products!$A$1:$A$49,products!$C$1:$C$49,,0)</f>
        <v>D</v>
      </c>
      <c r="K273" s="7">
        <f>_xlfn.XLOOKUP(D273,products!$A$1:$A$49,products!$D$1:$D$49,,0)</f>
        <v>0.2</v>
      </c>
      <c r="L273" s="9">
        <f>_xlfn.XLOOKUP(D273,products!$A$1:$A$49,products!$E$1:$E$49,,0)</f>
        <v>2.9849999999999999</v>
      </c>
      <c r="M273" s="9">
        <f t="shared" si="4"/>
        <v>11.94</v>
      </c>
      <c r="N273" s="3" t="str" cm="1">
        <f t="array" ref="N273">_xlfn.SWITCH(I273,
"Rob","Robusta",
"Exc","Excelsa",
"Ara","Arabica",
"Lib","Liberica",
"")</f>
        <v>Arabica</v>
      </c>
      <c r="O273" t="str" cm="1">
        <f t="array" ref="O273">_xlfn.SWITCH(J273,
"M","Medium",
"L","Light",
"D","Dark",
"")</f>
        <v>Dark</v>
      </c>
      <c r="P273" t="str">
        <f>_xlfn.XLOOKUP(Orders[[#This Row],[Customer ID]],customers!$A$1:$A$1001,customers!$I$1:$I$1001,,0)</f>
        <v>Yes</v>
      </c>
    </row>
    <row r="274" spans="1:16" x14ac:dyDescent="0.35">
      <c r="A274" s="2" t="s">
        <v>2025</v>
      </c>
      <c r="B274" s="4">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_xlfn.XLOOKUP(D274,products!$A$1:$A$49,products!$B$1:$B$49,,0)</f>
        <v>Rob</v>
      </c>
      <c r="J274" t="str">
        <f>_xlfn.XLOOKUP(D274,products!$A$1:$A$49,products!$C$1:$C$49,,0)</f>
        <v>L</v>
      </c>
      <c r="K274" s="7">
        <f>_xlfn.XLOOKUP(D274,products!$A$1:$A$49,products!$D$1:$D$49,,0)</f>
        <v>1</v>
      </c>
      <c r="L274" s="9">
        <f>_xlfn.XLOOKUP(D274,products!$A$1:$A$49,products!$E$1:$E$49,,0)</f>
        <v>11.95</v>
      </c>
      <c r="M274" s="9">
        <f t="shared" si="4"/>
        <v>71.699999999999989</v>
      </c>
      <c r="N274" s="3" t="str" cm="1">
        <f t="array" ref="N274">_xlfn.SWITCH(I274,
"Rob","Robusta",
"Exc","Excelsa",
"Ara","Arabica",
"Lib","Liberica",
"")</f>
        <v>Robusta</v>
      </c>
      <c r="O274" t="str" cm="1">
        <f t="array" ref="O274">_xlfn.SWITCH(J274,
"M","Medium",
"L","Light",
"D","Dark",
"")</f>
        <v>Light</v>
      </c>
      <c r="P274" t="str">
        <f>_xlfn.XLOOKUP(Orders[[#This Row],[Customer ID]],customers!$A$1:$A$1001,customers!$I$1:$I$1001,,0)</f>
        <v>Yes</v>
      </c>
    </row>
    <row r="275" spans="1:16" x14ac:dyDescent="0.35">
      <c r="A275" s="2" t="s">
        <v>2032</v>
      </c>
      <c r="B275" s="4">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_xlfn.XLOOKUP(D275,products!$A$1:$A$49,products!$B$1:$B$49,,0)</f>
        <v>Ara</v>
      </c>
      <c r="J275" t="str">
        <f>_xlfn.XLOOKUP(D275,products!$A$1:$A$49,products!$C$1:$C$49,,0)</f>
        <v>L</v>
      </c>
      <c r="K275" s="7">
        <f>_xlfn.XLOOKUP(D275,products!$A$1:$A$49,products!$D$1:$D$49,,0)</f>
        <v>0.2</v>
      </c>
      <c r="L275" s="9">
        <f>_xlfn.XLOOKUP(D275,products!$A$1:$A$49,products!$E$1:$E$49,,0)</f>
        <v>3.8849999999999998</v>
      </c>
      <c r="M275" s="9">
        <f t="shared" si="4"/>
        <v>7.77</v>
      </c>
      <c r="N275" s="3" t="str" cm="1">
        <f t="array" ref="N275">_xlfn.SWITCH(I275,
"Rob","Robusta",
"Exc","Excelsa",
"Ara","Arabica",
"Lib","Liberica",
"")</f>
        <v>Arabica</v>
      </c>
      <c r="O275" t="str" cm="1">
        <f t="array" ref="O275">_xlfn.SWITCH(J275,
"M","Medium",
"L","Light",
"D","Dark",
"")</f>
        <v>Light</v>
      </c>
      <c r="P275" t="str">
        <f>_xlfn.XLOOKUP(Orders[[#This Row],[Customer ID]],customers!$A$1:$A$1001,customers!$I$1:$I$1001,,0)</f>
        <v>No</v>
      </c>
    </row>
    <row r="276" spans="1:16" x14ac:dyDescent="0.35">
      <c r="A276" s="2" t="s">
        <v>2038</v>
      </c>
      <c r="B276" s="4">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_xlfn.XLOOKUP(D276,products!$A$1:$A$49,products!$B$1:$B$49,,0)</f>
        <v>Ara</v>
      </c>
      <c r="J276" t="str">
        <f>_xlfn.XLOOKUP(D276,products!$A$1:$A$49,products!$C$1:$C$49,,0)</f>
        <v>M</v>
      </c>
      <c r="K276" s="7">
        <f>_xlfn.XLOOKUP(D276,products!$A$1:$A$49,products!$D$1:$D$49,,0)</f>
        <v>2.5</v>
      </c>
      <c r="L276" s="9">
        <f>_xlfn.XLOOKUP(D276,products!$A$1:$A$49,products!$E$1:$E$49,,0)</f>
        <v>25.874999999999996</v>
      </c>
      <c r="M276" s="9">
        <f t="shared" si="4"/>
        <v>25.874999999999996</v>
      </c>
      <c r="N276" s="3" t="str" cm="1">
        <f t="array" ref="N276">_xlfn.SWITCH(I276,
"Rob","Robusta",
"Exc","Excelsa",
"Ara","Arabica",
"Lib","Liberica",
"")</f>
        <v>Arabica</v>
      </c>
      <c r="O276" t="str" cm="1">
        <f t="array" ref="O276">_xlfn.SWITCH(J276,
"M","Medium",
"L","Light",
"D","Dark",
"")</f>
        <v>Medium</v>
      </c>
      <c r="P276" t="str">
        <f>_xlfn.XLOOKUP(Orders[[#This Row],[Customer ID]],customers!$A$1:$A$1001,customers!$I$1:$I$1001,,0)</f>
        <v>No</v>
      </c>
    </row>
    <row r="277" spans="1:16" x14ac:dyDescent="0.35">
      <c r="A277" s="2" t="s">
        <v>2044</v>
      </c>
      <c r="B277" s="4">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_xlfn.XLOOKUP(D277,products!$A$1:$A$49,products!$B$1:$B$49,,0)</f>
        <v>Exc</v>
      </c>
      <c r="J277" t="str">
        <f>_xlfn.XLOOKUP(D277,products!$A$1:$A$49,products!$C$1:$C$49,,0)</f>
        <v>L</v>
      </c>
      <c r="K277" s="7">
        <f>_xlfn.XLOOKUP(D277,products!$A$1:$A$49,products!$D$1:$D$49,,0)</f>
        <v>2.5</v>
      </c>
      <c r="L277" s="9">
        <f>_xlfn.XLOOKUP(D277,products!$A$1:$A$49,products!$E$1:$E$49,,0)</f>
        <v>34.154999999999994</v>
      </c>
      <c r="M277" s="9">
        <f t="shared" si="4"/>
        <v>204.92999999999995</v>
      </c>
      <c r="N277" s="3" t="str" cm="1">
        <f t="array" ref="N277">_xlfn.SWITCH(I277,
"Rob","Robusta",
"Exc","Excelsa",
"Ara","Arabica",
"Lib","Liberica",
"")</f>
        <v>Excelsa</v>
      </c>
      <c r="O277" t="str" cm="1">
        <f t="array" ref="O277">_xlfn.SWITCH(J277,
"M","Medium",
"L","Light",
"D","Dark",
"")</f>
        <v>Light</v>
      </c>
      <c r="P277" t="str">
        <f>_xlfn.XLOOKUP(Orders[[#This Row],[Customer ID]],customers!$A$1:$A$1001,customers!$I$1:$I$1001,,0)</f>
        <v>No</v>
      </c>
    </row>
    <row r="278" spans="1:16" x14ac:dyDescent="0.35">
      <c r="A278" s="2" t="s">
        <v>2050</v>
      </c>
      <c r="B278" s="4">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_xlfn.XLOOKUP(D278,products!$A$1:$A$49,products!$B$1:$B$49,,0)</f>
        <v>Rob</v>
      </c>
      <c r="J278" t="str">
        <f>_xlfn.XLOOKUP(D278,products!$A$1:$A$49,products!$C$1:$C$49,,0)</f>
        <v>L</v>
      </c>
      <c r="K278" s="7">
        <f>_xlfn.XLOOKUP(D278,products!$A$1:$A$49,products!$D$1:$D$49,,0)</f>
        <v>2.5</v>
      </c>
      <c r="L278" s="9">
        <f>_xlfn.XLOOKUP(D278,products!$A$1:$A$49,products!$E$1:$E$49,,0)</f>
        <v>27.484999999999996</v>
      </c>
      <c r="M278" s="9">
        <f t="shared" si="4"/>
        <v>109.93999999999998</v>
      </c>
      <c r="N278" s="3" t="str" cm="1">
        <f t="array" ref="N278">_xlfn.SWITCH(I278,
"Rob","Robusta",
"Exc","Excelsa",
"Ara","Arabica",
"Lib","Liberica",
"")</f>
        <v>Robusta</v>
      </c>
      <c r="O278" t="str" cm="1">
        <f t="array" ref="O278">_xlfn.SWITCH(J278,
"M","Medium",
"L","Light",
"D","Dark",
"")</f>
        <v>Light</v>
      </c>
      <c r="P278" t="str">
        <f>_xlfn.XLOOKUP(Orders[[#This Row],[Customer ID]],customers!$A$1:$A$1001,customers!$I$1:$I$1001,,0)</f>
        <v>Yes</v>
      </c>
    </row>
    <row r="279" spans="1:16" x14ac:dyDescent="0.35">
      <c r="A279" s="2" t="s">
        <v>2056</v>
      </c>
      <c r="B279" s="4">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_xlfn.XLOOKUP(D279,products!$A$1:$A$49,products!$B$1:$B$49,,0)</f>
        <v>Exc</v>
      </c>
      <c r="J279" t="str">
        <f>_xlfn.XLOOKUP(D279,products!$A$1:$A$49,products!$C$1:$C$49,,0)</f>
        <v>L</v>
      </c>
      <c r="K279" s="7">
        <f>_xlfn.XLOOKUP(D279,products!$A$1:$A$49,products!$D$1:$D$49,,0)</f>
        <v>1</v>
      </c>
      <c r="L279" s="9">
        <f>_xlfn.XLOOKUP(D279,products!$A$1:$A$49,products!$E$1:$E$49,,0)</f>
        <v>14.85</v>
      </c>
      <c r="M279" s="9">
        <f t="shared" si="4"/>
        <v>89.1</v>
      </c>
      <c r="N279" s="3" t="str" cm="1">
        <f t="array" ref="N279">_xlfn.SWITCH(I279,
"Rob","Robusta",
"Exc","Excelsa",
"Ara","Arabica",
"Lib","Liberica",
"")</f>
        <v>Excelsa</v>
      </c>
      <c r="O279" t="str" cm="1">
        <f t="array" ref="O279">_xlfn.SWITCH(J279,
"M","Medium",
"L","Light",
"D","Dark",
"")</f>
        <v>Light</v>
      </c>
      <c r="P279" t="str">
        <f>_xlfn.XLOOKUP(Orders[[#This Row],[Customer ID]],customers!$A$1:$A$1001,customers!$I$1:$I$1001,,0)</f>
        <v>No</v>
      </c>
    </row>
    <row r="280" spans="1:16" x14ac:dyDescent="0.35">
      <c r="A280" s="2" t="s">
        <v>2062</v>
      </c>
      <c r="B280" s="4">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_xlfn.XLOOKUP(D280,products!$A$1:$A$49,products!$B$1:$B$49,,0)</f>
        <v>Ara</v>
      </c>
      <c r="J280" t="str">
        <f>_xlfn.XLOOKUP(D280,products!$A$1:$A$49,products!$C$1:$C$49,,0)</f>
        <v>L</v>
      </c>
      <c r="K280" s="7">
        <f>_xlfn.XLOOKUP(D280,products!$A$1:$A$49,products!$D$1:$D$49,,0)</f>
        <v>0.2</v>
      </c>
      <c r="L280" s="9">
        <f>_xlfn.XLOOKUP(D280,products!$A$1:$A$49,products!$E$1:$E$49,,0)</f>
        <v>3.8849999999999998</v>
      </c>
      <c r="M280" s="9">
        <f t="shared" si="4"/>
        <v>7.77</v>
      </c>
      <c r="N280" s="3" t="str" cm="1">
        <f t="array" ref="N280">_xlfn.SWITCH(I280,
"Rob","Robusta",
"Exc","Excelsa",
"Ara","Arabica",
"Lib","Liberica",
"")</f>
        <v>Arabica</v>
      </c>
      <c r="O280" t="str" cm="1">
        <f t="array" ref="O280">_xlfn.SWITCH(J280,
"M","Medium",
"L","Light",
"D","Dark",
"")</f>
        <v>Light</v>
      </c>
      <c r="P280" t="str">
        <f>_xlfn.XLOOKUP(Orders[[#This Row],[Customer ID]],customers!$A$1:$A$1001,customers!$I$1:$I$1001,,0)</f>
        <v>Yes</v>
      </c>
    </row>
    <row r="281" spans="1:16" x14ac:dyDescent="0.35">
      <c r="A281" s="2" t="s">
        <v>2068</v>
      </c>
      <c r="B281" s="4">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_xlfn.XLOOKUP(D281,products!$A$1:$A$49,products!$B$1:$B$49,,0)</f>
        <v>Lib</v>
      </c>
      <c r="J281" t="str">
        <f>_xlfn.XLOOKUP(D281,products!$A$1:$A$49,products!$C$1:$C$49,,0)</f>
        <v>M</v>
      </c>
      <c r="K281" s="7">
        <f>_xlfn.XLOOKUP(D281,products!$A$1:$A$49,products!$D$1:$D$49,,0)</f>
        <v>2.5</v>
      </c>
      <c r="L281" s="9">
        <f>_xlfn.XLOOKUP(D281,products!$A$1:$A$49,products!$E$1:$E$49,,0)</f>
        <v>33.464999999999996</v>
      </c>
      <c r="M281" s="9">
        <f t="shared" si="4"/>
        <v>33.464999999999996</v>
      </c>
      <c r="N281" s="3" t="str" cm="1">
        <f t="array" ref="N281">_xlfn.SWITCH(I281,
"Rob","Robusta",
"Exc","Excelsa",
"Ara","Arabica",
"Lib","Liberica",
"")</f>
        <v>Liberica</v>
      </c>
      <c r="O281" t="str" cm="1">
        <f t="array" ref="O281">_xlfn.SWITCH(J281,
"M","Medium",
"L","Light",
"D","Dark",
"")</f>
        <v>Medium</v>
      </c>
      <c r="P281" t="str">
        <f>_xlfn.XLOOKUP(Orders[[#This Row],[Customer ID]],customers!$A$1:$A$1001,customers!$I$1:$I$1001,,0)</f>
        <v>Yes</v>
      </c>
    </row>
    <row r="282" spans="1:16" x14ac:dyDescent="0.35">
      <c r="A282" s="2" t="s">
        <v>2074</v>
      </c>
      <c r="B282" s="4">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_xlfn.XLOOKUP(D282,products!$A$1:$A$49,products!$B$1:$B$49,,0)</f>
        <v>Exc</v>
      </c>
      <c r="J282" t="str">
        <f>_xlfn.XLOOKUP(D282,products!$A$1:$A$49,products!$C$1:$C$49,,0)</f>
        <v>M</v>
      </c>
      <c r="K282" s="7">
        <f>_xlfn.XLOOKUP(D282,products!$A$1:$A$49,products!$D$1:$D$49,,0)</f>
        <v>0.5</v>
      </c>
      <c r="L282" s="9">
        <f>_xlfn.XLOOKUP(D282,products!$A$1:$A$49,products!$E$1:$E$49,,0)</f>
        <v>8.25</v>
      </c>
      <c r="M282" s="9">
        <f t="shared" si="4"/>
        <v>41.25</v>
      </c>
      <c r="N282" s="3" t="str" cm="1">
        <f t="array" ref="N282">_xlfn.SWITCH(I282,
"Rob","Robusta",
"Exc","Excelsa",
"Ara","Arabica",
"Lib","Liberica",
"")</f>
        <v>Excelsa</v>
      </c>
      <c r="O282" t="str" cm="1">
        <f t="array" ref="O282">_xlfn.SWITCH(J282,
"M","Medium",
"L","Light",
"D","Dark",
"")</f>
        <v>Medium</v>
      </c>
      <c r="P282" t="str">
        <f>_xlfn.XLOOKUP(Orders[[#This Row],[Customer ID]],customers!$A$1:$A$1001,customers!$I$1:$I$1001,,0)</f>
        <v>Yes</v>
      </c>
    </row>
    <row r="283" spans="1:16" x14ac:dyDescent="0.35">
      <c r="A283" s="2" t="s">
        <v>2079</v>
      </c>
      <c r="B283" s="4">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_xlfn.XLOOKUP(D283,products!$A$1:$A$49,products!$B$1:$B$49,,0)</f>
        <v>Exc</v>
      </c>
      <c r="J283" t="str">
        <f>_xlfn.XLOOKUP(D283,products!$A$1:$A$49,products!$C$1:$C$49,,0)</f>
        <v>L</v>
      </c>
      <c r="K283" s="7">
        <f>_xlfn.XLOOKUP(D283,products!$A$1:$A$49,products!$D$1:$D$49,,0)</f>
        <v>1</v>
      </c>
      <c r="L283" s="9">
        <f>_xlfn.XLOOKUP(D283,products!$A$1:$A$49,products!$E$1:$E$49,,0)</f>
        <v>14.85</v>
      </c>
      <c r="M283" s="9">
        <f t="shared" si="4"/>
        <v>59.4</v>
      </c>
      <c r="N283" s="3" t="str" cm="1">
        <f t="array" ref="N283">_xlfn.SWITCH(I283,
"Rob","Robusta",
"Exc","Excelsa",
"Ara","Arabica",
"Lib","Liberica",
"")</f>
        <v>Excelsa</v>
      </c>
      <c r="O283" t="str" cm="1">
        <f t="array" ref="O283">_xlfn.SWITCH(J283,
"M","Medium",
"L","Light",
"D","Dark",
"")</f>
        <v>Light</v>
      </c>
      <c r="P283" t="str">
        <f>_xlfn.XLOOKUP(Orders[[#This Row],[Customer ID]],customers!$A$1:$A$1001,customers!$I$1:$I$1001,,0)</f>
        <v>Yes</v>
      </c>
    </row>
    <row r="284" spans="1:16" x14ac:dyDescent="0.35">
      <c r="A284" s="2" t="s">
        <v>2085</v>
      </c>
      <c r="B284" s="4">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_xlfn.XLOOKUP(D284,products!$A$1:$A$49,products!$B$1:$B$49,,0)</f>
        <v>Ara</v>
      </c>
      <c r="J284" t="str">
        <f>_xlfn.XLOOKUP(D284,products!$A$1:$A$49,products!$C$1:$C$49,,0)</f>
        <v>L</v>
      </c>
      <c r="K284" s="7">
        <f>_xlfn.XLOOKUP(D284,products!$A$1:$A$49,products!$D$1:$D$49,,0)</f>
        <v>0.5</v>
      </c>
      <c r="L284" s="9">
        <f>_xlfn.XLOOKUP(D284,products!$A$1:$A$49,products!$E$1:$E$49,,0)</f>
        <v>7.77</v>
      </c>
      <c r="M284" s="9">
        <f t="shared" si="4"/>
        <v>7.77</v>
      </c>
      <c r="N284" s="3" t="str" cm="1">
        <f t="array" ref="N284">_xlfn.SWITCH(I284,
"Rob","Robusta",
"Exc","Excelsa",
"Ara","Arabica",
"Lib","Liberica",
"")</f>
        <v>Arabica</v>
      </c>
      <c r="O284" t="str" cm="1">
        <f t="array" ref="O284">_xlfn.SWITCH(J284,
"M","Medium",
"L","Light",
"D","Dark",
"")</f>
        <v>Light</v>
      </c>
      <c r="P284" t="str">
        <f>_xlfn.XLOOKUP(Orders[[#This Row],[Customer ID]],customers!$A$1:$A$1001,customers!$I$1:$I$1001,,0)</f>
        <v>No</v>
      </c>
    </row>
    <row r="285" spans="1:16" x14ac:dyDescent="0.35">
      <c r="A285" s="2" t="s">
        <v>2091</v>
      </c>
      <c r="B285" s="4">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_xlfn.XLOOKUP(D285,products!$A$1:$A$49,products!$B$1:$B$49,,0)</f>
        <v>Rob</v>
      </c>
      <c r="J285" t="str">
        <f>_xlfn.XLOOKUP(D285,products!$A$1:$A$49,products!$C$1:$C$49,,0)</f>
        <v>D</v>
      </c>
      <c r="K285" s="7">
        <f>_xlfn.XLOOKUP(D285,products!$A$1:$A$49,products!$D$1:$D$49,,0)</f>
        <v>0.5</v>
      </c>
      <c r="L285" s="9">
        <f>_xlfn.XLOOKUP(D285,products!$A$1:$A$49,products!$E$1:$E$49,,0)</f>
        <v>5.3699999999999992</v>
      </c>
      <c r="M285" s="9">
        <f t="shared" si="4"/>
        <v>5.3699999999999992</v>
      </c>
      <c r="N285" s="3" t="str" cm="1">
        <f t="array" ref="N285">_xlfn.SWITCH(I285,
"Rob","Robusta",
"Exc","Excelsa",
"Ara","Arabica",
"Lib","Liberica",
"")</f>
        <v>Robusta</v>
      </c>
      <c r="O285" t="str" cm="1">
        <f t="array" ref="O285">_xlfn.SWITCH(J285,
"M","Medium",
"L","Light",
"D","Dark",
"")</f>
        <v>Dark</v>
      </c>
      <c r="P285" t="str">
        <f>_xlfn.XLOOKUP(Orders[[#This Row],[Customer ID]],customers!$A$1:$A$1001,customers!$I$1:$I$1001,,0)</f>
        <v>Yes</v>
      </c>
    </row>
    <row r="286" spans="1:16" x14ac:dyDescent="0.35">
      <c r="A286" s="2" t="s">
        <v>2097</v>
      </c>
      <c r="B286" s="4">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_xlfn.XLOOKUP(D286,products!$A$1:$A$49,products!$B$1:$B$49,,0)</f>
        <v>Exc</v>
      </c>
      <c r="J286" t="str">
        <f>_xlfn.XLOOKUP(D286,products!$A$1:$A$49,products!$C$1:$C$49,,0)</f>
        <v>M</v>
      </c>
      <c r="K286" s="7">
        <f>_xlfn.XLOOKUP(D286,products!$A$1:$A$49,products!$D$1:$D$49,,0)</f>
        <v>2.5</v>
      </c>
      <c r="L286" s="9">
        <f>_xlfn.XLOOKUP(D286,products!$A$1:$A$49,products!$E$1:$E$49,,0)</f>
        <v>31.624999999999996</v>
      </c>
      <c r="M286" s="9">
        <f t="shared" si="4"/>
        <v>94.874999999999986</v>
      </c>
      <c r="N286" s="3" t="str" cm="1">
        <f t="array" ref="N286">_xlfn.SWITCH(I286,
"Rob","Robusta",
"Exc","Excelsa",
"Ara","Arabica",
"Lib","Liberica",
"")</f>
        <v>Excelsa</v>
      </c>
      <c r="O286" t="str" cm="1">
        <f t="array" ref="O286">_xlfn.SWITCH(J286,
"M","Medium",
"L","Light",
"D","Dark",
"")</f>
        <v>Medium</v>
      </c>
      <c r="P286" t="str">
        <f>_xlfn.XLOOKUP(Orders[[#This Row],[Customer ID]],customers!$A$1:$A$1001,customers!$I$1:$I$1001,,0)</f>
        <v>No</v>
      </c>
    </row>
    <row r="287" spans="1:16" x14ac:dyDescent="0.35">
      <c r="A287" s="2" t="s">
        <v>2102</v>
      </c>
      <c r="B287" s="4">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_xlfn.XLOOKUP(D287,products!$A$1:$A$49,products!$B$1:$B$49,,0)</f>
        <v>Lib</v>
      </c>
      <c r="J287" t="str">
        <f>_xlfn.XLOOKUP(D287,products!$A$1:$A$49,products!$C$1:$C$49,,0)</f>
        <v>L</v>
      </c>
      <c r="K287" s="7">
        <f>_xlfn.XLOOKUP(D287,products!$A$1:$A$49,products!$D$1:$D$49,,0)</f>
        <v>2.5</v>
      </c>
      <c r="L287" s="9">
        <f>_xlfn.XLOOKUP(D287,products!$A$1:$A$49,products!$E$1:$E$49,,0)</f>
        <v>36.454999999999998</v>
      </c>
      <c r="M287" s="9">
        <f t="shared" si="4"/>
        <v>36.454999999999998</v>
      </c>
      <c r="N287" s="3" t="str" cm="1">
        <f t="array" ref="N287">_xlfn.SWITCH(I287,
"Rob","Robusta",
"Exc","Excelsa",
"Ara","Arabica",
"Lib","Liberica",
"")</f>
        <v>Liberica</v>
      </c>
      <c r="O287" t="str" cm="1">
        <f t="array" ref="O287">_xlfn.SWITCH(J287,
"M","Medium",
"L","Light",
"D","Dark",
"")</f>
        <v>Light</v>
      </c>
      <c r="P287" t="str">
        <f>_xlfn.XLOOKUP(Orders[[#This Row],[Customer ID]],customers!$A$1:$A$1001,customers!$I$1:$I$1001,,0)</f>
        <v>No</v>
      </c>
    </row>
    <row r="288" spans="1:16" x14ac:dyDescent="0.35">
      <c r="A288" s="2" t="s">
        <v>2107</v>
      </c>
      <c r="B288" s="4">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_xlfn.XLOOKUP(D288,products!$A$1:$A$49,products!$B$1:$B$49,,0)</f>
        <v>Ara</v>
      </c>
      <c r="J288" t="str">
        <f>_xlfn.XLOOKUP(D288,products!$A$1:$A$49,products!$C$1:$C$49,,0)</f>
        <v>M</v>
      </c>
      <c r="K288" s="7">
        <f>_xlfn.XLOOKUP(D288,products!$A$1:$A$49,products!$D$1:$D$49,,0)</f>
        <v>0.2</v>
      </c>
      <c r="L288" s="9">
        <f>_xlfn.XLOOKUP(D288,products!$A$1:$A$49,products!$E$1:$E$49,,0)</f>
        <v>3.375</v>
      </c>
      <c r="M288" s="9">
        <f t="shared" si="4"/>
        <v>13.5</v>
      </c>
      <c r="N288" s="3" t="str" cm="1">
        <f t="array" ref="N288">_xlfn.SWITCH(I288,
"Rob","Robusta",
"Exc","Excelsa",
"Ara","Arabica",
"Lib","Liberica",
"")</f>
        <v>Arabica</v>
      </c>
      <c r="O288" t="str" cm="1">
        <f t="array" ref="O288">_xlfn.SWITCH(J288,
"M","Medium",
"L","Light",
"D","Dark",
"")</f>
        <v>Medium</v>
      </c>
      <c r="P288" t="str">
        <f>_xlfn.XLOOKUP(Orders[[#This Row],[Customer ID]],customers!$A$1:$A$1001,customers!$I$1:$I$1001,,0)</f>
        <v>Yes</v>
      </c>
    </row>
    <row r="289" spans="1:16" x14ac:dyDescent="0.35">
      <c r="A289" s="2" t="s">
        <v>2112</v>
      </c>
      <c r="B289" s="4">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_xlfn.XLOOKUP(D289,products!$A$1:$A$49,products!$B$1:$B$49,,0)</f>
        <v>Rob</v>
      </c>
      <c r="J289" t="str">
        <f>_xlfn.XLOOKUP(D289,products!$A$1:$A$49,products!$C$1:$C$49,,0)</f>
        <v>L</v>
      </c>
      <c r="K289" s="7">
        <f>_xlfn.XLOOKUP(D289,products!$A$1:$A$49,products!$D$1:$D$49,,0)</f>
        <v>0.2</v>
      </c>
      <c r="L289" s="9">
        <f>_xlfn.XLOOKUP(D289,products!$A$1:$A$49,products!$E$1:$E$49,,0)</f>
        <v>3.5849999999999995</v>
      </c>
      <c r="M289" s="9">
        <f t="shared" si="4"/>
        <v>14.339999999999998</v>
      </c>
      <c r="N289" s="3" t="str" cm="1">
        <f t="array" ref="N289">_xlfn.SWITCH(I289,
"Rob","Robusta",
"Exc","Excelsa",
"Ara","Arabica",
"Lib","Liberica",
"")</f>
        <v>Robusta</v>
      </c>
      <c r="O289" t="str" cm="1">
        <f t="array" ref="O289">_xlfn.SWITCH(J289,
"M","Medium",
"L","Light",
"D","Dark",
"")</f>
        <v>Light</v>
      </c>
      <c r="P289" t="str">
        <f>_xlfn.XLOOKUP(Orders[[#This Row],[Customer ID]],customers!$A$1:$A$1001,customers!$I$1:$I$1001,,0)</f>
        <v>No</v>
      </c>
    </row>
    <row r="290" spans="1:16" x14ac:dyDescent="0.35">
      <c r="A290" s="2" t="s">
        <v>2118</v>
      </c>
      <c r="B290" s="4">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_xlfn.XLOOKUP(D290,products!$A$1:$A$49,products!$B$1:$B$49,,0)</f>
        <v>Exc</v>
      </c>
      <c r="J290" t="str">
        <f>_xlfn.XLOOKUP(D290,products!$A$1:$A$49,products!$C$1:$C$49,,0)</f>
        <v>M</v>
      </c>
      <c r="K290" s="7">
        <f>_xlfn.XLOOKUP(D290,products!$A$1:$A$49,products!$D$1:$D$49,,0)</f>
        <v>0.5</v>
      </c>
      <c r="L290" s="9">
        <f>_xlfn.XLOOKUP(D290,products!$A$1:$A$49,products!$E$1:$E$49,,0)</f>
        <v>8.25</v>
      </c>
      <c r="M290" s="9">
        <f t="shared" si="4"/>
        <v>8.25</v>
      </c>
      <c r="N290" s="3" t="str" cm="1">
        <f t="array" ref="N290">_xlfn.SWITCH(I290,
"Rob","Robusta",
"Exc","Excelsa",
"Ara","Arabica",
"Lib","Liberica",
"")</f>
        <v>Excelsa</v>
      </c>
      <c r="O290" t="str" cm="1">
        <f t="array" ref="O290">_xlfn.SWITCH(J290,
"M","Medium",
"L","Light",
"D","Dark",
"")</f>
        <v>Medium</v>
      </c>
      <c r="P290" t="str">
        <f>_xlfn.XLOOKUP(Orders[[#This Row],[Customer ID]],customers!$A$1:$A$1001,customers!$I$1:$I$1001,,0)</f>
        <v>Yes</v>
      </c>
    </row>
    <row r="291" spans="1:16" x14ac:dyDescent="0.35">
      <c r="A291" s="2" t="s">
        <v>2123</v>
      </c>
      <c r="B291" s="4">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_xlfn.XLOOKUP(D291,products!$A$1:$A$49,products!$B$1:$B$49,,0)</f>
        <v>Rob</v>
      </c>
      <c r="J291" t="str">
        <f>_xlfn.XLOOKUP(D291,products!$A$1:$A$49,products!$C$1:$C$49,,0)</f>
        <v>D</v>
      </c>
      <c r="K291" s="7">
        <f>_xlfn.XLOOKUP(D291,products!$A$1:$A$49,products!$D$1:$D$49,,0)</f>
        <v>0.2</v>
      </c>
      <c r="L291" s="9">
        <f>_xlfn.XLOOKUP(D291,products!$A$1:$A$49,products!$E$1:$E$49,,0)</f>
        <v>2.6849999999999996</v>
      </c>
      <c r="M291" s="9">
        <f t="shared" si="4"/>
        <v>13.424999999999997</v>
      </c>
      <c r="N291" s="3" t="str" cm="1">
        <f t="array" ref="N291">_xlfn.SWITCH(I291,
"Rob","Robusta",
"Exc","Excelsa",
"Ara","Arabica",
"Lib","Liberica",
"")</f>
        <v>Robusta</v>
      </c>
      <c r="O291" t="str" cm="1">
        <f t="array" ref="O291">_xlfn.SWITCH(J291,
"M","Medium",
"L","Light",
"D","Dark",
"")</f>
        <v>Dark</v>
      </c>
      <c r="P291" t="str">
        <f>_xlfn.XLOOKUP(Orders[[#This Row],[Customer ID]],customers!$A$1:$A$1001,customers!$I$1:$I$1001,,0)</f>
        <v>Yes</v>
      </c>
    </row>
    <row r="292" spans="1:16" x14ac:dyDescent="0.35">
      <c r="A292" s="2" t="s">
        <v>2127</v>
      </c>
      <c r="B292" s="4">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_xlfn.XLOOKUP(D292,products!$A$1:$A$49,products!$B$1:$B$49,,0)</f>
        <v>Ara</v>
      </c>
      <c r="J292" t="str">
        <f>_xlfn.XLOOKUP(D292,products!$A$1:$A$49,products!$C$1:$C$49,,0)</f>
        <v>D</v>
      </c>
      <c r="K292" s="7">
        <f>_xlfn.XLOOKUP(D292,products!$A$1:$A$49,products!$D$1:$D$49,,0)</f>
        <v>1</v>
      </c>
      <c r="L292" s="9">
        <f>_xlfn.XLOOKUP(D292,products!$A$1:$A$49,products!$E$1:$E$49,,0)</f>
        <v>9.9499999999999993</v>
      </c>
      <c r="M292" s="9">
        <f t="shared" si="4"/>
        <v>49.75</v>
      </c>
      <c r="N292" s="3" t="str" cm="1">
        <f t="array" ref="N292">_xlfn.SWITCH(I292,
"Rob","Robusta",
"Exc","Excelsa",
"Ara","Arabica",
"Lib","Liberica",
"")</f>
        <v>Arabica</v>
      </c>
      <c r="O292" t="str" cm="1">
        <f t="array" ref="O292">_xlfn.SWITCH(J292,
"M","Medium",
"L","Light",
"D","Dark",
"")</f>
        <v>Dark</v>
      </c>
      <c r="P292" t="str">
        <f>_xlfn.XLOOKUP(Orders[[#This Row],[Customer ID]],customers!$A$1:$A$1001,customers!$I$1:$I$1001,,0)</f>
        <v>No</v>
      </c>
    </row>
    <row r="293" spans="1:16" x14ac:dyDescent="0.35">
      <c r="A293" s="2" t="s">
        <v>2133</v>
      </c>
      <c r="B293" s="4">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_xlfn.XLOOKUP(D293,products!$A$1:$A$49,products!$B$1:$B$49,,0)</f>
        <v>Exc</v>
      </c>
      <c r="J293" t="str">
        <f>_xlfn.XLOOKUP(D293,products!$A$1:$A$49,products!$C$1:$C$49,,0)</f>
        <v>M</v>
      </c>
      <c r="K293" s="7">
        <f>_xlfn.XLOOKUP(D293,products!$A$1:$A$49,products!$D$1:$D$49,,0)</f>
        <v>0.5</v>
      </c>
      <c r="L293" s="9">
        <f>_xlfn.XLOOKUP(D293,products!$A$1:$A$49,products!$E$1:$E$49,,0)</f>
        <v>8.25</v>
      </c>
      <c r="M293" s="9">
        <f t="shared" si="4"/>
        <v>16.5</v>
      </c>
      <c r="N293" s="3" t="str" cm="1">
        <f t="array" ref="N293">_xlfn.SWITCH(I293,
"Rob","Robusta",
"Exc","Excelsa",
"Ara","Arabica",
"Lib","Liberica",
"")</f>
        <v>Excelsa</v>
      </c>
      <c r="O293" t="str" cm="1">
        <f t="array" ref="O293">_xlfn.SWITCH(J293,
"M","Medium",
"L","Light",
"D","Dark",
"")</f>
        <v>Medium</v>
      </c>
      <c r="P293" t="str">
        <f>_xlfn.XLOOKUP(Orders[[#This Row],[Customer ID]],customers!$A$1:$A$1001,customers!$I$1:$I$1001,,0)</f>
        <v>No</v>
      </c>
    </row>
    <row r="294" spans="1:16" x14ac:dyDescent="0.35">
      <c r="A294" s="2" t="s">
        <v>2137</v>
      </c>
      <c r="B294" s="4">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_xlfn.XLOOKUP(D294,products!$A$1:$A$49,products!$B$1:$B$49,,0)</f>
        <v>Ara</v>
      </c>
      <c r="J294" t="str">
        <f>_xlfn.XLOOKUP(D294,products!$A$1:$A$49,products!$C$1:$C$49,,0)</f>
        <v>D</v>
      </c>
      <c r="K294" s="7">
        <f>_xlfn.XLOOKUP(D294,products!$A$1:$A$49,products!$D$1:$D$49,,0)</f>
        <v>0.5</v>
      </c>
      <c r="L294" s="9">
        <f>_xlfn.XLOOKUP(D294,products!$A$1:$A$49,products!$E$1:$E$49,,0)</f>
        <v>5.97</v>
      </c>
      <c r="M294" s="9">
        <f t="shared" si="4"/>
        <v>17.91</v>
      </c>
      <c r="N294" s="3" t="str" cm="1">
        <f t="array" ref="N294">_xlfn.SWITCH(I294,
"Rob","Robusta",
"Exc","Excelsa",
"Ara","Arabica",
"Lib","Liberica",
"")</f>
        <v>Arabica</v>
      </c>
      <c r="O294" t="str" cm="1">
        <f t="array" ref="O294">_xlfn.SWITCH(J294,
"M","Medium",
"L","Light",
"D","Dark",
"")</f>
        <v>Dark</v>
      </c>
      <c r="P294" t="str">
        <f>_xlfn.XLOOKUP(Orders[[#This Row],[Customer ID]],customers!$A$1:$A$1001,customers!$I$1:$I$1001,,0)</f>
        <v>No</v>
      </c>
    </row>
    <row r="295" spans="1:16" x14ac:dyDescent="0.35">
      <c r="A295" s="2" t="s">
        <v>2142</v>
      </c>
      <c r="B295" s="4">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_xlfn.XLOOKUP(D295,products!$A$1:$A$49,products!$B$1:$B$49,,0)</f>
        <v>Ara</v>
      </c>
      <c r="J295" t="str">
        <f>_xlfn.XLOOKUP(D295,products!$A$1:$A$49,products!$C$1:$C$49,,0)</f>
        <v>D</v>
      </c>
      <c r="K295" s="7">
        <f>_xlfn.XLOOKUP(D295,products!$A$1:$A$49,products!$D$1:$D$49,,0)</f>
        <v>0.5</v>
      </c>
      <c r="L295" s="9">
        <f>_xlfn.XLOOKUP(D295,products!$A$1:$A$49,products!$E$1:$E$49,,0)</f>
        <v>5.97</v>
      </c>
      <c r="M295" s="9">
        <f t="shared" si="4"/>
        <v>29.849999999999998</v>
      </c>
      <c r="N295" s="3" t="str" cm="1">
        <f t="array" ref="N295">_xlfn.SWITCH(I295,
"Rob","Robusta",
"Exc","Excelsa",
"Ara","Arabica",
"Lib","Liberica",
"")</f>
        <v>Arabica</v>
      </c>
      <c r="O295" t="str" cm="1">
        <f t="array" ref="O295">_xlfn.SWITCH(J295,
"M","Medium",
"L","Light",
"D","Dark",
"")</f>
        <v>Dark</v>
      </c>
      <c r="P295" t="str">
        <f>_xlfn.XLOOKUP(Orders[[#This Row],[Customer ID]],customers!$A$1:$A$1001,customers!$I$1:$I$1001,,0)</f>
        <v>No</v>
      </c>
    </row>
    <row r="296" spans="1:16" x14ac:dyDescent="0.35">
      <c r="A296" s="2" t="s">
        <v>2148</v>
      </c>
      <c r="B296" s="4">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_xlfn.XLOOKUP(D296,products!$A$1:$A$49,products!$B$1:$B$49,,0)</f>
        <v>Exc</v>
      </c>
      <c r="J296" t="str">
        <f>_xlfn.XLOOKUP(D296,products!$A$1:$A$49,products!$C$1:$C$49,,0)</f>
        <v>L</v>
      </c>
      <c r="K296" s="7">
        <f>_xlfn.XLOOKUP(D296,products!$A$1:$A$49,products!$D$1:$D$49,,0)</f>
        <v>1</v>
      </c>
      <c r="L296" s="9">
        <f>_xlfn.XLOOKUP(D296,products!$A$1:$A$49,products!$E$1:$E$49,,0)</f>
        <v>14.85</v>
      </c>
      <c r="M296" s="9">
        <f t="shared" si="4"/>
        <v>44.55</v>
      </c>
      <c r="N296" s="3" t="str" cm="1">
        <f t="array" ref="N296">_xlfn.SWITCH(I296,
"Rob","Robusta",
"Exc","Excelsa",
"Ara","Arabica",
"Lib","Liberica",
"")</f>
        <v>Excelsa</v>
      </c>
      <c r="O296" t="str" cm="1">
        <f t="array" ref="O296">_xlfn.SWITCH(J296,
"M","Medium",
"L","Light",
"D","Dark",
"")</f>
        <v>Light</v>
      </c>
      <c r="P296" t="str">
        <f>_xlfn.XLOOKUP(Orders[[#This Row],[Customer ID]],customers!$A$1:$A$1001,customers!$I$1:$I$1001,,0)</f>
        <v>No</v>
      </c>
    </row>
    <row r="297" spans="1:16" x14ac:dyDescent="0.35">
      <c r="A297" s="2" t="s">
        <v>2153</v>
      </c>
      <c r="B297" s="4">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_xlfn.XLOOKUP(D297,products!$A$1:$A$49,products!$B$1:$B$49,,0)</f>
        <v>Exc</v>
      </c>
      <c r="J297" t="str">
        <f>_xlfn.XLOOKUP(D297,products!$A$1:$A$49,products!$C$1:$C$49,,0)</f>
        <v>M</v>
      </c>
      <c r="K297" s="7">
        <f>_xlfn.XLOOKUP(D297,products!$A$1:$A$49,products!$D$1:$D$49,,0)</f>
        <v>1</v>
      </c>
      <c r="L297" s="9">
        <f>_xlfn.XLOOKUP(D297,products!$A$1:$A$49,products!$E$1:$E$49,,0)</f>
        <v>13.75</v>
      </c>
      <c r="M297" s="9">
        <f t="shared" si="4"/>
        <v>27.5</v>
      </c>
      <c r="N297" s="3" t="str" cm="1">
        <f t="array" ref="N297">_xlfn.SWITCH(I297,
"Rob","Robusta",
"Exc","Excelsa",
"Ara","Arabica",
"Lib","Liberica",
"")</f>
        <v>Excelsa</v>
      </c>
      <c r="O297" t="str" cm="1">
        <f t="array" ref="O297">_xlfn.SWITCH(J297,
"M","Medium",
"L","Light",
"D","Dark",
"")</f>
        <v>Medium</v>
      </c>
      <c r="P297" t="str">
        <f>_xlfn.XLOOKUP(Orders[[#This Row],[Customer ID]],customers!$A$1:$A$1001,customers!$I$1:$I$1001,,0)</f>
        <v>No</v>
      </c>
    </row>
    <row r="298" spans="1:16" x14ac:dyDescent="0.35">
      <c r="A298" s="2" t="s">
        <v>2157</v>
      </c>
      <c r="B298" s="4">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_xlfn.XLOOKUP(D298,products!$A$1:$A$49,products!$B$1:$B$49,,0)</f>
        <v>Rob</v>
      </c>
      <c r="J298" t="str">
        <f>_xlfn.XLOOKUP(D298,products!$A$1:$A$49,products!$C$1:$C$49,,0)</f>
        <v>M</v>
      </c>
      <c r="K298" s="7">
        <f>_xlfn.XLOOKUP(D298,products!$A$1:$A$49,products!$D$1:$D$49,,0)</f>
        <v>0.5</v>
      </c>
      <c r="L298" s="9">
        <f>_xlfn.XLOOKUP(D298,products!$A$1:$A$49,products!$E$1:$E$49,,0)</f>
        <v>5.97</v>
      </c>
      <c r="M298" s="9">
        <f t="shared" si="4"/>
        <v>35.82</v>
      </c>
      <c r="N298" s="3" t="str" cm="1">
        <f t="array" ref="N298">_xlfn.SWITCH(I298,
"Rob","Robusta",
"Exc","Excelsa",
"Ara","Arabica",
"Lib","Liberica",
"")</f>
        <v>Robusta</v>
      </c>
      <c r="O298" t="str" cm="1">
        <f t="array" ref="O298">_xlfn.SWITCH(J298,
"M","Medium",
"L","Light",
"D","Dark",
"")</f>
        <v>Medium</v>
      </c>
      <c r="P298" t="str">
        <f>_xlfn.XLOOKUP(Orders[[#This Row],[Customer ID]],customers!$A$1:$A$1001,customers!$I$1:$I$1001,,0)</f>
        <v>Yes</v>
      </c>
    </row>
    <row r="299" spans="1:16" x14ac:dyDescent="0.35">
      <c r="A299" s="2" t="s">
        <v>2163</v>
      </c>
      <c r="B299" s="4">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_xlfn.XLOOKUP(D299,products!$A$1:$A$49,products!$B$1:$B$49,,0)</f>
        <v>Rob</v>
      </c>
      <c r="J299" t="str">
        <f>_xlfn.XLOOKUP(D299,products!$A$1:$A$49,products!$C$1:$C$49,,0)</f>
        <v>D</v>
      </c>
      <c r="K299" s="7">
        <f>_xlfn.XLOOKUP(D299,products!$A$1:$A$49,products!$D$1:$D$49,,0)</f>
        <v>0.5</v>
      </c>
      <c r="L299" s="9">
        <f>_xlfn.XLOOKUP(D299,products!$A$1:$A$49,products!$E$1:$E$49,,0)</f>
        <v>5.3699999999999992</v>
      </c>
      <c r="M299" s="9">
        <f t="shared" si="4"/>
        <v>16.11</v>
      </c>
      <c r="N299" s="3" t="str" cm="1">
        <f t="array" ref="N299">_xlfn.SWITCH(I299,
"Rob","Robusta",
"Exc","Excelsa",
"Ara","Arabica",
"Lib","Liberica",
"")</f>
        <v>Robusta</v>
      </c>
      <c r="O299" t="str" cm="1">
        <f t="array" ref="O299">_xlfn.SWITCH(J299,
"M","Medium",
"L","Light",
"D","Dark",
"")</f>
        <v>Dark</v>
      </c>
      <c r="P299" t="str">
        <f>_xlfn.XLOOKUP(Orders[[#This Row],[Customer ID]],customers!$A$1:$A$1001,customers!$I$1:$I$1001,,0)</f>
        <v>Yes</v>
      </c>
    </row>
    <row r="300" spans="1:16" x14ac:dyDescent="0.35">
      <c r="A300" s="2" t="s">
        <v>2169</v>
      </c>
      <c r="B300" s="4">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_xlfn.XLOOKUP(D300,products!$A$1:$A$49,products!$B$1:$B$49,,0)</f>
        <v>Exc</v>
      </c>
      <c r="J300" t="str">
        <f>_xlfn.XLOOKUP(D300,products!$A$1:$A$49,products!$C$1:$C$49,,0)</f>
        <v>L</v>
      </c>
      <c r="K300" s="7">
        <f>_xlfn.XLOOKUP(D300,products!$A$1:$A$49,products!$D$1:$D$49,,0)</f>
        <v>0.2</v>
      </c>
      <c r="L300" s="9">
        <f>_xlfn.XLOOKUP(D300,products!$A$1:$A$49,products!$E$1:$E$49,,0)</f>
        <v>4.4550000000000001</v>
      </c>
      <c r="M300" s="9">
        <f t="shared" si="4"/>
        <v>26.73</v>
      </c>
      <c r="N300" s="3" t="str" cm="1">
        <f t="array" ref="N300">_xlfn.SWITCH(I300,
"Rob","Robusta",
"Exc","Excelsa",
"Ara","Arabica",
"Lib","Liberica",
"")</f>
        <v>Excelsa</v>
      </c>
      <c r="O300" t="str" cm="1">
        <f t="array" ref="O300">_xlfn.SWITCH(J300,
"M","Medium",
"L","Light",
"D","Dark",
"")</f>
        <v>Light</v>
      </c>
      <c r="P300" t="str">
        <f>_xlfn.XLOOKUP(Orders[[#This Row],[Customer ID]],customers!$A$1:$A$1001,customers!$I$1:$I$1001,,0)</f>
        <v>Yes</v>
      </c>
    </row>
    <row r="301" spans="1:16" x14ac:dyDescent="0.35">
      <c r="A301" s="2" t="s">
        <v>2175</v>
      </c>
      <c r="B301" s="4">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_xlfn.XLOOKUP(D301,products!$A$1:$A$49,products!$B$1:$B$49,,0)</f>
        <v>Exc</v>
      </c>
      <c r="J301" t="str">
        <f>_xlfn.XLOOKUP(D301,products!$A$1:$A$49,products!$C$1:$C$49,,0)</f>
        <v>L</v>
      </c>
      <c r="K301" s="7">
        <f>_xlfn.XLOOKUP(D301,products!$A$1:$A$49,products!$D$1:$D$49,,0)</f>
        <v>2.5</v>
      </c>
      <c r="L301" s="9">
        <f>_xlfn.XLOOKUP(D301,products!$A$1:$A$49,products!$E$1:$E$49,,0)</f>
        <v>34.154999999999994</v>
      </c>
      <c r="M301" s="9">
        <f t="shared" si="4"/>
        <v>204.92999999999995</v>
      </c>
      <c r="N301" s="3" t="str" cm="1">
        <f t="array" ref="N301">_xlfn.SWITCH(I301,
"Rob","Robusta",
"Exc","Excelsa",
"Ara","Arabica",
"Lib","Liberica",
"")</f>
        <v>Excelsa</v>
      </c>
      <c r="O301" t="str" cm="1">
        <f t="array" ref="O301">_xlfn.SWITCH(J301,
"M","Medium",
"L","Light",
"D","Dark",
"")</f>
        <v>Light</v>
      </c>
      <c r="P301" t="str">
        <f>_xlfn.XLOOKUP(Orders[[#This Row],[Customer ID]],customers!$A$1:$A$1001,customers!$I$1:$I$1001,,0)</f>
        <v>Yes</v>
      </c>
    </row>
    <row r="302" spans="1:16" x14ac:dyDescent="0.35">
      <c r="A302" s="2" t="s">
        <v>2181</v>
      </c>
      <c r="B302" s="4">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_xlfn.XLOOKUP(D302,products!$A$1:$A$49,products!$B$1:$B$49,,0)</f>
        <v>Ara</v>
      </c>
      <c r="J302" t="str">
        <f>_xlfn.XLOOKUP(D302,products!$A$1:$A$49,products!$C$1:$C$49,,0)</f>
        <v>L</v>
      </c>
      <c r="K302" s="7">
        <f>_xlfn.XLOOKUP(D302,products!$A$1:$A$49,products!$D$1:$D$49,,0)</f>
        <v>1</v>
      </c>
      <c r="L302" s="9">
        <f>_xlfn.XLOOKUP(D302,products!$A$1:$A$49,products!$E$1:$E$49,,0)</f>
        <v>12.95</v>
      </c>
      <c r="M302" s="9">
        <f t="shared" si="4"/>
        <v>38.849999999999994</v>
      </c>
      <c r="N302" s="3" t="str" cm="1">
        <f t="array" ref="N302">_xlfn.SWITCH(I302,
"Rob","Robusta",
"Exc","Excelsa",
"Ara","Arabica",
"Lib","Liberica",
"")</f>
        <v>Arabica</v>
      </c>
      <c r="O302" t="str" cm="1">
        <f t="array" ref="O302">_xlfn.SWITCH(J302,
"M","Medium",
"L","Light",
"D","Dark",
"")</f>
        <v>Light</v>
      </c>
      <c r="P302" t="str">
        <f>_xlfn.XLOOKUP(Orders[[#This Row],[Customer ID]],customers!$A$1:$A$1001,customers!$I$1:$I$1001,,0)</f>
        <v>Yes</v>
      </c>
    </row>
    <row r="303" spans="1:16" x14ac:dyDescent="0.35">
      <c r="A303" s="2" t="s">
        <v>2187</v>
      </c>
      <c r="B303" s="4">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_xlfn.XLOOKUP(D303,products!$A$1:$A$49,products!$B$1:$B$49,,0)</f>
        <v>Lib</v>
      </c>
      <c r="J303" t="str">
        <f>_xlfn.XLOOKUP(D303,products!$A$1:$A$49,products!$C$1:$C$49,,0)</f>
        <v>D</v>
      </c>
      <c r="K303" s="7">
        <f>_xlfn.XLOOKUP(D303,products!$A$1:$A$49,products!$D$1:$D$49,,0)</f>
        <v>0.2</v>
      </c>
      <c r="L303" s="9">
        <f>_xlfn.XLOOKUP(D303,products!$A$1:$A$49,products!$E$1:$E$49,,0)</f>
        <v>3.8849999999999998</v>
      </c>
      <c r="M303" s="9">
        <f t="shared" si="4"/>
        <v>15.54</v>
      </c>
      <c r="N303" s="3" t="str" cm="1">
        <f t="array" ref="N303">_xlfn.SWITCH(I303,
"Rob","Robusta",
"Exc","Excelsa",
"Ara","Arabica",
"Lib","Liberica",
"")</f>
        <v>Liberica</v>
      </c>
      <c r="O303" t="str" cm="1">
        <f t="array" ref="O303">_xlfn.SWITCH(J303,
"M","Medium",
"L","Light",
"D","Dark",
"")</f>
        <v>Dark</v>
      </c>
      <c r="P303" t="str">
        <f>_xlfn.XLOOKUP(Orders[[#This Row],[Customer ID]],customers!$A$1:$A$1001,customers!$I$1:$I$1001,,0)</f>
        <v>Yes</v>
      </c>
    </row>
    <row r="304" spans="1:16" x14ac:dyDescent="0.35">
      <c r="A304" s="2" t="s">
        <v>2193</v>
      </c>
      <c r="B304" s="4">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_xlfn.XLOOKUP(D304,products!$A$1:$A$49,products!$B$1:$B$49,,0)</f>
        <v>Ara</v>
      </c>
      <c r="J304" t="str">
        <f>_xlfn.XLOOKUP(D304,products!$A$1:$A$49,products!$C$1:$C$49,,0)</f>
        <v>M</v>
      </c>
      <c r="K304" s="7">
        <f>_xlfn.XLOOKUP(D304,products!$A$1:$A$49,products!$D$1:$D$49,,0)</f>
        <v>0.5</v>
      </c>
      <c r="L304" s="9">
        <f>_xlfn.XLOOKUP(D304,products!$A$1:$A$49,products!$E$1:$E$49,,0)</f>
        <v>6.75</v>
      </c>
      <c r="M304" s="9">
        <f t="shared" si="4"/>
        <v>6.75</v>
      </c>
      <c r="N304" s="3" t="str" cm="1">
        <f t="array" ref="N304">_xlfn.SWITCH(I304,
"Rob","Robusta",
"Exc","Excelsa",
"Ara","Arabica",
"Lib","Liberica",
"")</f>
        <v>Arabica</v>
      </c>
      <c r="O304" t="str" cm="1">
        <f t="array" ref="O304">_xlfn.SWITCH(J304,
"M","Medium",
"L","Light",
"D","Dark",
"")</f>
        <v>Medium</v>
      </c>
      <c r="P304" t="str">
        <f>_xlfn.XLOOKUP(Orders[[#This Row],[Customer ID]],customers!$A$1:$A$1001,customers!$I$1:$I$1001,,0)</f>
        <v>No</v>
      </c>
    </row>
    <row r="305" spans="1:16" x14ac:dyDescent="0.35">
      <c r="A305" s="2" t="s">
        <v>2199</v>
      </c>
      <c r="B305" s="4">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_xlfn.XLOOKUP(D305,products!$A$1:$A$49,products!$B$1:$B$49,,0)</f>
        <v>Exc</v>
      </c>
      <c r="J305" t="str">
        <f>_xlfn.XLOOKUP(D305,products!$A$1:$A$49,products!$C$1:$C$49,,0)</f>
        <v>D</v>
      </c>
      <c r="K305" s="7">
        <f>_xlfn.XLOOKUP(D305,products!$A$1:$A$49,products!$D$1:$D$49,,0)</f>
        <v>2.5</v>
      </c>
      <c r="L305" s="9">
        <f>_xlfn.XLOOKUP(D305,products!$A$1:$A$49,products!$E$1:$E$49,,0)</f>
        <v>27.945</v>
      </c>
      <c r="M305" s="9">
        <f t="shared" si="4"/>
        <v>111.78</v>
      </c>
      <c r="N305" s="3" t="str" cm="1">
        <f t="array" ref="N305">_xlfn.SWITCH(I305,
"Rob","Robusta",
"Exc","Excelsa",
"Ara","Arabica",
"Lib","Liberica",
"")</f>
        <v>Excelsa</v>
      </c>
      <c r="O305" t="str" cm="1">
        <f t="array" ref="O305">_xlfn.SWITCH(J305,
"M","Medium",
"L","Light",
"D","Dark",
"")</f>
        <v>Dark</v>
      </c>
      <c r="P305" t="str">
        <f>_xlfn.XLOOKUP(Orders[[#This Row],[Customer ID]],customers!$A$1:$A$1001,customers!$I$1:$I$1001,,0)</f>
        <v>Yes</v>
      </c>
    </row>
    <row r="306" spans="1:16" x14ac:dyDescent="0.35">
      <c r="A306" s="2" t="s">
        <v>2204</v>
      </c>
      <c r="B306" s="4">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_xlfn.XLOOKUP(D306,products!$A$1:$A$49,products!$B$1:$B$49,,0)</f>
        <v>Ara</v>
      </c>
      <c r="J306" t="str">
        <f>_xlfn.XLOOKUP(D306,products!$A$1:$A$49,products!$C$1:$C$49,,0)</f>
        <v>L</v>
      </c>
      <c r="K306" s="7">
        <f>_xlfn.XLOOKUP(D306,products!$A$1:$A$49,products!$D$1:$D$49,,0)</f>
        <v>0.2</v>
      </c>
      <c r="L306" s="9">
        <f>_xlfn.XLOOKUP(D306,products!$A$1:$A$49,products!$E$1:$E$49,,0)</f>
        <v>3.8849999999999998</v>
      </c>
      <c r="M306" s="9">
        <f t="shared" si="4"/>
        <v>3.8849999999999998</v>
      </c>
      <c r="N306" s="3" t="str" cm="1">
        <f t="array" ref="N306">_xlfn.SWITCH(I306,
"Rob","Robusta",
"Exc","Excelsa",
"Ara","Arabica",
"Lib","Liberica",
"")</f>
        <v>Arabica</v>
      </c>
      <c r="O306" t="str" cm="1">
        <f t="array" ref="O306">_xlfn.SWITCH(J306,
"M","Medium",
"L","Light",
"D","Dark",
"")</f>
        <v>Light</v>
      </c>
      <c r="P306" t="str">
        <f>_xlfn.XLOOKUP(Orders[[#This Row],[Customer ID]],customers!$A$1:$A$1001,customers!$I$1:$I$1001,,0)</f>
        <v>Yes</v>
      </c>
    </row>
    <row r="307" spans="1:16" x14ac:dyDescent="0.35">
      <c r="A307" s="2" t="s">
        <v>2209</v>
      </c>
      <c r="B307" s="4">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_xlfn.XLOOKUP(D307,products!$A$1:$A$49,products!$B$1:$B$49,,0)</f>
        <v>Lib</v>
      </c>
      <c r="J307" t="str">
        <f>_xlfn.XLOOKUP(D307,products!$A$1:$A$49,products!$C$1:$C$49,,0)</f>
        <v>M</v>
      </c>
      <c r="K307" s="7">
        <f>_xlfn.XLOOKUP(D307,products!$A$1:$A$49,products!$D$1:$D$49,,0)</f>
        <v>0.2</v>
      </c>
      <c r="L307" s="9">
        <f>_xlfn.XLOOKUP(D307,products!$A$1:$A$49,products!$E$1:$E$49,,0)</f>
        <v>4.3650000000000002</v>
      </c>
      <c r="M307" s="9">
        <f t="shared" si="4"/>
        <v>21.825000000000003</v>
      </c>
      <c r="N307" s="3" t="str" cm="1">
        <f t="array" ref="N307">_xlfn.SWITCH(I307,
"Rob","Robusta",
"Exc","Excelsa",
"Ara","Arabica",
"Lib","Liberica",
"")</f>
        <v>Liberica</v>
      </c>
      <c r="O307" t="str" cm="1">
        <f t="array" ref="O307">_xlfn.SWITCH(J307,
"M","Medium",
"L","Light",
"D","Dark",
"")</f>
        <v>Medium</v>
      </c>
      <c r="P307" t="str">
        <f>_xlfn.XLOOKUP(Orders[[#This Row],[Customer ID]],customers!$A$1:$A$1001,customers!$I$1:$I$1001,,0)</f>
        <v>No</v>
      </c>
    </row>
    <row r="308" spans="1:16" x14ac:dyDescent="0.35">
      <c r="A308" s="2" t="s">
        <v>2215</v>
      </c>
      <c r="B308" s="4">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_xlfn.XLOOKUP(D308,products!$A$1:$A$49,products!$B$1:$B$49,,0)</f>
        <v>Rob</v>
      </c>
      <c r="J308" t="str">
        <f>_xlfn.XLOOKUP(D308,products!$A$1:$A$49,products!$C$1:$C$49,,0)</f>
        <v>M</v>
      </c>
      <c r="K308" s="7">
        <f>_xlfn.XLOOKUP(D308,products!$A$1:$A$49,products!$D$1:$D$49,,0)</f>
        <v>0.2</v>
      </c>
      <c r="L308" s="9">
        <f>_xlfn.XLOOKUP(D308,products!$A$1:$A$49,products!$E$1:$E$49,,0)</f>
        <v>2.9849999999999999</v>
      </c>
      <c r="M308" s="9">
        <f t="shared" si="4"/>
        <v>14.924999999999999</v>
      </c>
      <c r="N308" s="3" t="str" cm="1">
        <f t="array" ref="N308">_xlfn.SWITCH(I308,
"Rob","Robusta",
"Exc","Excelsa",
"Ara","Arabica",
"Lib","Liberica",
"")</f>
        <v>Robusta</v>
      </c>
      <c r="O308" t="str" cm="1">
        <f t="array" ref="O308">_xlfn.SWITCH(J308,
"M","Medium",
"L","Light",
"D","Dark",
"")</f>
        <v>Medium</v>
      </c>
      <c r="P308" t="str">
        <f>_xlfn.XLOOKUP(Orders[[#This Row],[Customer ID]],customers!$A$1:$A$1001,customers!$I$1:$I$1001,,0)</f>
        <v>No</v>
      </c>
    </row>
    <row r="309" spans="1:16" x14ac:dyDescent="0.35">
      <c r="A309" s="2" t="s">
        <v>2221</v>
      </c>
      <c r="B309" s="4">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_xlfn.XLOOKUP(D309,products!$A$1:$A$49,products!$B$1:$B$49,,0)</f>
        <v>Ara</v>
      </c>
      <c r="J309" t="str">
        <f>_xlfn.XLOOKUP(D309,products!$A$1:$A$49,products!$C$1:$C$49,,0)</f>
        <v>M</v>
      </c>
      <c r="K309" s="7">
        <f>_xlfn.XLOOKUP(D309,products!$A$1:$A$49,products!$D$1:$D$49,,0)</f>
        <v>1</v>
      </c>
      <c r="L309" s="9">
        <f>_xlfn.XLOOKUP(D309,products!$A$1:$A$49,products!$E$1:$E$49,,0)</f>
        <v>11.25</v>
      </c>
      <c r="M309" s="9">
        <f t="shared" si="4"/>
        <v>33.75</v>
      </c>
      <c r="N309" s="3" t="str" cm="1">
        <f t="array" ref="N309">_xlfn.SWITCH(I309,
"Rob","Robusta",
"Exc","Excelsa",
"Ara","Arabica",
"Lib","Liberica",
"")</f>
        <v>Arabica</v>
      </c>
      <c r="O309" t="str" cm="1">
        <f t="array" ref="O309">_xlfn.SWITCH(J309,
"M","Medium",
"L","Light",
"D","Dark",
"")</f>
        <v>Medium</v>
      </c>
      <c r="P309" t="str">
        <f>_xlfn.XLOOKUP(Orders[[#This Row],[Customer ID]],customers!$A$1:$A$1001,customers!$I$1:$I$1001,,0)</f>
        <v>Yes</v>
      </c>
    </row>
    <row r="310" spans="1:16" x14ac:dyDescent="0.35">
      <c r="A310" s="2" t="s">
        <v>2227</v>
      </c>
      <c r="B310" s="4">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_xlfn.XLOOKUP(D310,products!$A$1:$A$49,products!$B$1:$B$49,,0)</f>
        <v>Ara</v>
      </c>
      <c r="J310" t="str">
        <f>_xlfn.XLOOKUP(D310,products!$A$1:$A$49,products!$C$1:$C$49,,0)</f>
        <v>M</v>
      </c>
      <c r="K310" s="7">
        <f>_xlfn.XLOOKUP(D310,products!$A$1:$A$49,products!$D$1:$D$49,,0)</f>
        <v>1</v>
      </c>
      <c r="L310" s="9">
        <f>_xlfn.XLOOKUP(D310,products!$A$1:$A$49,products!$E$1:$E$49,,0)</f>
        <v>11.25</v>
      </c>
      <c r="M310" s="9">
        <f t="shared" si="4"/>
        <v>33.75</v>
      </c>
      <c r="N310" s="3" t="str" cm="1">
        <f t="array" ref="N310">_xlfn.SWITCH(I310,
"Rob","Robusta",
"Exc","Excelsa",
"Ara","Arabica",
"Lib","Liberica",
"")</f>
        <v>Arabica</v>
      </c>
      <c r="O310" t="str" cm="1">
        <f t="array" ref="O310">_xlfn.SWITCH(J310,
"M","Medium",
"L","Light",
"D","Dark",
"")</f>
        <v>Medium</v>
      </c>
      <c r="P310" t="str">
        <f>_xlfn.XLOOKUP(Orders[[#This Row],[Customer ID]],customers!$A$1:$A$1001,customers!$I$1:$I$1001,,0)</f>
        <v>No</v>
      </c>
    </row>
    <row r="311" spans="1:16" x14ac:dyDescent="0.35">
      <c r="A311" s="2" t="s">
        <v>2232</v>
      </c>
      <c r="B311" s="4">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_xlfn.XLOOKUP(D311,products!$A$1:$A$49,products!$B$1:$B$49,,0)</f>
        <v>Lib</v>
      </c>
      <c r="J311" t="str">
        <f>_xlfn.XLOOKUP(D311,products!$A$1:$A$49,products!$C$1:$C$49,,0)</f>
        <v>M</v>
      </c>
      <c r="K311" s="7">
        <f>_xlfn.XLOOKUP(D311,products!$A$1:$A$49,products!$D$1:$D$49,,0)</f>
        <v>0.2</v>
      </c>
      <c r="L311" s="9">
        <f>_xlfn.XLOOKUP(D311,products!$A$1:$A$49,products!$E$1:$E$49,,0)</f>
        <v>4.3650000000000002</v>
      </c>
      <c r="M311" s="9">
        <f t="shared" si="4"/>
        <v>26.19</v>
      </c>
      <c r="N311" s="3" t="str" cm="1">
        <f t="array" ref="N311">_xlfn.SWITCH(I311,
"Rob","Robusta",
"Exc","Excelsa",
"Ara","Arabica",
"Lib","Liberica",
"")</f>
        <v>Liberica</v>
      </c>
      <c r="O311" t="str" cm="1">
        <f t="array" ref="O311">_xlfn.SWITCH(J311,
"M","Medium",
"L","Light",
"D","Dark",
"")</f>
        <v>Medium</v>
      </c>
      <c r="P311" t="str">
        <f>_xlfn.XLOOKUP(Orders[[#This Row],[Customer ID]],customers!$A$1:$A$1001,customers!$I$1:$I$1001,,0)</f>
        <v>Yes</v>
      </c>
    </row>
    <row r="312" spans="1:16" x14ac:dyDescent="0.35">
      <c r="A312" s="2" t="s">
        <v>2238</v>
      </c>
      <c r="B312" s="4">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_xlfn.XLOOKUP(D312,products!$A$1:$A$49,products!$B$1:$B$49,,0)</f>
        <v>Exc</v>
      </c>
      <c r="J312" t="str">
        <f>_xlfn.XLOOKUP(D312,products!$A$1:$A$49,products!$C$1:$C$49,,0)</f>
        <v>L</v>
      </c>
      <c r="K312" s="7">
        <f>_xlfn.XLOOKUP(D312,products!$A$1:$A$49,products!$D$1:$D$49,,0)</f>
        <v>1</v>
      </c>
      <c r="L312" s="9">
        <f>_xlfn.XLOOKUP(D312,products!$A$1:$A$49,products!$E$1:$E$49,,0)</f>
        <v>14.85</v>
      </c>
      <c r="M312" s="9">
        <f t="shared" si="4"/>
        <v>14.85</v>
      </c>
      <c r="N312" s="3" t="str" cm="1">
        <f t="array" ref="N312">_xlfn.SWITCH(I312,
"Rob","Robusta",
"Exc","Excelsa",
"Ara","Arabica",
"Lib","Liberica",
"")</f>
        <v>Excelsa</v>
      </c>
      <c r="O312" t="str" cm="1">
        <f t="array" ref="O312">_xlfn.SWITCH(J312,
"M","Medium",
"L","Light",
"D","Dark",
"")</f>
        <v>Light</v>
      </c>
      <c r="P312" t="str">
        <f>_xlfn.XLOOKUP(Orders[[#This Row],[Customer ID]],customers!$A$1:$A$1001,customers!$I$1:$I$1001,,0)</f>
        <v>No</v>
      </c>
    </row>
    <row r="313" spans="1:16" x14ac:dyDescent="0.35">
      <c r="A313" s="2" t="s">
        <v>2244</v>
      </c>
      <c r="B313" s="4">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_xlfn.XLOOKUP(D313,products!$A$1:$A$49,products!$B$1:$B$49,,0)</f>
        <v>Exc</v>
      </c>
      <c r="J313" t="str">
        <f>_xlfn.XLOOKUP(D313,products!$A$1:$A$49,products!$C$1:$C$49,,0)</f>
        <v>M</v>
      </c>
      <c r="K313" s="7">
        <f>_xlfn.XLOOKUP(D313,products!$A$1:$A$49,products!$D$1:$D$49,,0)</f>
        <v>2.5</v>
      </c>
      <c r="L313" s="9">
        <f>_xlfn.XLOOKUP(D313,products!$A$1:$A$49,products!$E$1:$E$49,,0)</f>
        <v>31.624999999999996</v>
      </c>
      <c r="M313" s="9">
        <f t="shared" si="4"/>
        <v>189.74999999999997</v>
      </c>
      <c r="N313" s="3" t="str" cm="1">
        <f t="array" ref="N313">_xlfn.SWITCH(I313,
"Rob","Robusta",
"Exc","Excelsa",
"Ara","Arabica",
"Lib","Liberica",
"")</f>
        <v>Excelsa</v>
      </c>
      <c r="O313" t="str" cm="1">
        <f t="array" ref="O313">_xlfn.SWITCH(J313,
"M","Medium",
"L","Light",
"D","Dark",
"")</f>
        <v>Medium</v>
      </c>
      <c r="P313" t="str">
        <f>_xlfn.XLOOKUP(Orders[[#This Row],[Customer ID]],customers!$A$1:$A$1001,customers!$I$1:$I$1001,,0)</f>
        <v>Yes</v>
      </c>
    </row>
    <row r="314" spans="1:16" x14ac:dyDescent="0.35">
      <c r="A314" s="2" t="s">
        <v>2250</v>
      </c>
      <c r="B314" s="4">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_xlfn.XLOOKUP(D314,products!$A$1:$A$49,products!$B$1:$B$49,,0)</f>
        <v>Rob</v>
      </c>
      <c r="J314" t="str">
        <f>_xlfn.XLOOKUP(D314,products!$A$1:$A$49,products!$C$1:$C$49,,0)</f>
        <v>M</v>
      </c>
      <c r="K314" s="7">
        <f>_xlfn.XLOOKUP(D314,products!$A$1:$A$49,products!$D$1:$D$49,,0)</f>
        <v>0.5</v>
      </c>
      <c r="L314" s="9">
        <f>_xlfn.XLOOKUP(D314,products!$A$1:$A$49,products!$E$1:$E$49,,0)</f>
        <v>5.97</v>
      </c>
      <c r="M314" s="9">
        <f t="shared" si="4"/>
        <v>5.97</v>
      </c>
      <c r="N314" s="3" t="str" cm="1">
        <f t="array" ref="N314">_xlfn.SWITCH(I314,
"Rob","Robusta",
"Exc","Excelsa",
"Ara","Arabica",
"Lib","Liberica",
"")</f>
        <v>Robusta</v>
      </c>
      <c r="O314" t="str" cm="1">
        <f t="array" ref="O314">_xlfn.SWITCH(J314,
"M","Medium",
"L","Light",
"D","Dark",
"")</f>
        <v>Medium</v>
      </c>
      <c r="P314" t="str">
        <f>_xlfn.XLOOKUP(Orders[[#This Row],[Customer ID]],customers!$A$1:$A$1001,customers!$I$1:$I$1001,,0)</f>
        <v>Yes</v>
      </c>
    </row>
    <row r="315" spans="1:16" x14ac:dyDescent="0.35">
      <c r="A315" s="2" t="s">
        <v>2256</v>
      </c>
      <c r="B315" s="4">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_xlfn.XLOOKUP(D315,products!$A$1:$A$49,products!$B$1:$B$49,,0)</f>
        <v>Rob</v>
      </c>
      <c r="J315" t="str">
        <f>_xlfn.XLOOKUP(D315,products!$A$1:$A$49,products!$C$1:$C$49,,0)</f>
        <v>M</v>
      </c>
      <c r="K315" s="7">
        <f>_xlfn.XLOOKUP(D315,products!$A$1:$A$49,products!$D$1:$D$49,,0)</f>
        <v>1</v>
      </c>
      <c r="L315" s="9">
        <f>_xlfn.XLOOKUP(D315,products!$A$1:$A$49,products!$E$1:$E$49,,0)</f>
        <v>9.9499999999999993</v>
      </c>
      <c r="M315" s="9">
        <f t="shared" si="4"/>
        <v>29.849999999999998</v>
      </c>
      <c r="N315" s="3" t="str" cm="1">
        <f t="array" ref="N315">_xlfn.SWITCH(I315,
"Rob","Robusta",
"Exc","Excelsa",
"Ara","Arabica",
"Lib","Liberica",
"")</f>
        <v>Robusta</v>
      </c>
      <c r="O315" t="str" cm="1">
        <f t="array" ref="O315">_xlfn.SWITCH(J315,
"M","Medium",
"L","Light",
"D","Dark",
"")</f>
        <v>Medium</v>
      </c>
      <c r="P315" t="str">
        <f>_xlfn.XLOOKUP(Orders[[#This Row],[Customer ID]],customers!$A$1:$A$1001,customers!$I$1:$I$1001,,0)</f>
        <v>Yes</v>
      </c>
    </row>
    <row r="316" spans="1:16" x14ac:dyDescent="0.35">
      <c r="A316" s="2" t="s">
        <v>2262</v>
      </c>
      <c r="B316" s="4">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_xlfn.XLOOKUP(D316,products!$A$1:$A$49,products!$B$1:$B$49,,0)</f>
        <v>Rob</v>
      </c>
      <c r="J316" t="str">
        <f>_xlfn.XLOOKUP(D316,products!$A$1:$A$49,products!$C$1:$C$49,,0)</f>
        <v>D</v>
      </c>
      <c r="K316" s="7">
        <f>_xlfn.XLOOKUP(D316,products!$A$1:$A$49,products!$D$1:$D$49,,0)</f>
        <v>1</v>
      </c>
      <c r="L316" s="9">
        <f>_xlfn.XLOOKUP(D316,products!$A$1:$A$49,products!$E$1:$E$49,,0)</f>
        <v>8.9499999999999993</v>
      </c>
      <c r="M316" s="9">
        <f t="shared" si="4"/>
        <v>44.75</v>
      </c>
      <c r="N316" s="3" t="str" cm="1">
        <f t="array" ref="N316">_xlfn.SWITCH(I316,
"Rob","Robusta",
"Exc","Excelsa",
"Ara","Arabica",
"Lib","Liberica",
"")</f>
        <v>Robusta</v>
      </c>
      <c r="O316" t="str" cm="1">
        <f t="array" ref="O316">_xlfn.SWITCH(J316,
"M","Medium",
"L","Light",
"D","Dark",
"")</f>
        <v>Dark</v>
      </c>
      <c r="P316" t="str">
        <f>_xlfn.XLOOKUP(Orders[[#This Row],[Customer ID]],customers!$A$1:$A$1001,customers!$I$1:$I$1001,,0)</f>
        <v>No</v>
      </c>
    </row>
    <row r="317" spans="1:16" x14ac:dyDescent="0.35">
      <c r="A317" s="2" t="s">
        <v>2267</v>
      </c>
      <c r="B317" s="4">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_xlfn.XLOOKUP(D317,products!$A$1:$A$49,products!$B$1:$B$49,,0)</f>
        <v>Exc</v>
      </c>
      <c r="J317" t="str">
        <f>_xlfn.XLOOKUP(D317,products!$A$1:$A$49,products!$C$1:$C$49,,0)</f>
        <v>L</v>
      </c>
      <c r="K317" s="7">
        <f>_xlfn.XLOOKUP(D317,products!$A$1:$A$49,products!$D$1:$D$49,,0)</f>
        <v>2.5</v>
      </c>
      <c r="L317" s="9">
        <f>_xlfn.XLOOKUP(D317,products!$A$1:$A$49,products!$E$1:$E$49,,0)</f>
        <v>34.154999999999994</v>
      </c>
      <c r="M317" s="9">
        <f t="shared" si="4"/>
        <v>34.154999999999994</v>
      </c>
      <c r="N317" s="3" t="str" cm="1">
        <f t="array" ref="N317">_xlfn.SWITCH(I317,
"Rob","Robusta",
"Exc","Excelsa",
"Ara","Arabica",
"Lib","Liberica",
"")</f>
        <v>Excelsa</v>
      </c>
      <c r="O317" t="str" cm="1">
        <f t="array" ref="O317">_xlfn.SWITCH(J317,
"M","Medium",
"L","Light",
"D","Dark",
"")</f>
        <v>Light</v>
      </c>
      <c r="P317" t="str">
        <f>_xlfn.XLOOKUP(Orders[[#This Row],[Customer ID]],customers!$A$1:$A$1001,customers!$I$1:$I$1001,,0)</f>
        <v>Yes</v>
      </c>
    </row>
    <row r="318" spans="1:16" x14ac:dyDescent="0.35">
      <c r="A318" s="2" t="s">
        <v>2273</v>
      </c>
      <c r="B318" s="4">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_xlfn.XLOOKUP(D318,products!$A$1:$A$49,products!$B$1:$B$49,,0)</f>
        <v>Exc</v>
      </c>
      <c r="J318" t="str">
        <f>_xlfn.XLOOKUP(D318,products!$A$1:$A$49,products!$C$1:$C$49,,0)</f>
        <v>L</v>
      </c>
      <c r="K318" s="7">
        <f>_xlfn.XLOOKUP(D318,products!$A$1:$A$49,products!$D$1:$D$49,,0)</f>
        <v>2.5</v>
      </c>
      <c r="L318" s="9">
        <f>_xlfn.XLOOKUP(D318,products!$A$1:$A$49,products!$E$1:$E$49,,0)</f>
        <v>34.154999999999994</v>
      </c>
      <c r="M318" s="9">
        <f t="shared" si="4"/>
        <v>204.92999999999995</v>
      </c>
      <c r="N318" s="3" t="str" cm="1">
        <f t="array" ref="N318">_xlfn.SWITCH(I318,
"Rob","Robusta",
"Exc","Excelsa",
"Ara","Arabica",
"Lib","Liberica",
"")</f>
        <v>Excelsa</v>
      </c>
      <c r="O318" t="str" cm="1">
        <f t="array" ref="O318">_xlfn.SWITCH(J318,
"M","Medium",
"L","Light",
"D","Dark",
"")</f>
        <v>Light</v>
      </c>
      <c r="P318" t="str">
        <f>_xlfn.XLOOKUP(Orders[[#This Row],[Customer ID]],customers!$A$1:$A$1001,customers!$I$1:$I$1001,,0)</f>
        <v>No</v>
      </c>
    </row>
    <row r="319" spans="1:16" x14ac:dyDescent="0.35">
      <c r="A319" s="2" t="s">
        <v>2279</v>
      </c>
      <c r="B319" s="4">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_xlfn.XLOOKUP(D319,products!$A$1:$A$49,products!$B$1:$B$49,,0)</f>
        <v>Exc</v>
      </c>
      <c r="J319" t="str">
        <f>_xlfn.XLOOKUP(D319,products!$A$1:$A$49,products!$C$1:$C$49,,0)</f>
        <v>D</v>
      </c>
      <c r="K319" s="7">
        <f>_xlfn.XLOOKUP(D319,products!$A$1:$A$49,products!$D$1:$D$49,,0)</f>
        <v>0.5</v>
      </c>
      <c r="L319" s="9">
        <f>_xlfn.XLOOKUP(D319,products!$A$1:$A$49,products!$E$1:$E$49,,0)</f>
        <v>7.29</v>
      </c>
      <c r="M319" s="9">
        <f t="shared" si="4"/>
        <v>21.87</v>
      </c>
      <c r="N319" s="3" t="str" cm="1">
        <f t="array" ref="N319">_xlfn.SWITCH(I319,
"Rob","Robusta",
"Exc","Excelsa",
"Ara","Arabica",
"Lib","Liberica",
"")</f>
        <v>Excelsa</v>
      </c>
      <c r="O319" t="str" cm="1">
        <f t="array" ref="O319">_xlfn.SWITCH(J319,
"M","Medium",
"L","Light",
"D","Dark",
"")</f>
        <v>Dark</v>
      </c>
      <c r="P319" t="str">
        <f>_xlfn.XLOOKUP(Orders[[#This Row],[Customer ID]],customers!$A$1:$A$1001,customers!$I$1:$I$1001,,0)</f>
        <v>No</v>
      </c>
    </row>
    <row r="320" spans="1:16" x14ac:dyDescent="0.35">
      <c r="A320" s="2" t="s">
        <v>2285</v>
      </c>
      <c r="B320" s="4">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_xlfn.XLOOKUP(D320,products!$A$1:$A$49,products!$B$1:$B$49,,0)</f>
        <v>Ara</v>
      </c>
      <c r="J320" t="str">
        <f>_xlfn.XLOOKUP(D320,products!$A$1:$A$49,products!$C$1:$C$49,,0)</f>
        <v>M</v>
      </c>
      <c r="K320" s="7">
        <f>_xlfn.XLOOKUP(D320,products!$A$1:$A$49,products!$D$1:$D$49,,0)</f>
        <v>2.5</v>
      </c>
      <c r="L320" s="9">
        <f>_xlfn.XLOOKUP(D320,products!$A$1:$A$49,products!$E$1:$E$49,,0)</f>
        <v>25.874999999999996</v>
      </c>
      <c r="M320" s="9">
        <f t="shared" si="4"/>
        <v>51.749999999999993</v>
      </c>
      <c r="N320" s="3" t="str" cm="1">
        <f t="array" ref="N320">_xlfn.SWITCH(I320,
"Rob","Robusta",
"Exc","Excelsa",
"Ara","Arabica",
"Lib","Liberica",
"")</f>
        <v>Arabica</v>
      </c>
      <c r="O320" t="str" cm="1">
        <f t="array" ref="O320">_xlfn.SWITCH(J320,
"M","Medium",
"L","Light",
"D","Dark",
"")</f>
        <v>Medium</v>
      </c>
      <c r="P320" t="str">
        <f>_xlfn.XLOOKUP(Orders[[#This Row],[Customer ID]],customers!$A$1:$A$1001,customers!$I$1:$I$1001,,0)</f>
        <v>Yes</v>
      </c>
    </row>
    <row r="321" spans="1:16" x14ac:dyDescent="0.35">
      <c r="A321" s="2" t="s">
        <v>2291</v>
      </c>
      <c r="B321" s="4">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_xlfn.XLOOKUP(D321,products!$A$1:$A$49,products!$B$1:$B$49,,0)</f>
        <v>Exc</v>
      </c>
      <c r="J321" t="str">
        <f>_xlfn.XLOOKUP(D321,products!$A$1:$A$49,products!$C$1:$C$49,,0)</f>
        <v>M</v>
      </c>
      <c r="K321" s="7">
        <f>_xlfn.XLOOKUP(D321,products!$A$1:$A$49,products!$D$1:$D$49,,0)</f>
        <v>0.2</v>
      </c>
      <c r="L321" s="9">
        <f>_xlfn.XLOOKUP(D321,products!$A$1:$A$49,products!$E$1:$E$49,,0)</f>
        <v>4.125</v>
      </c>
      <c r="M321" s="9">
        <f t="shared" si="4"/>
        <v>8.25</v>
      </c>
      <c r="N321" s="3" t="str" cm="1">
        <f t="array" ref="N321">_xlfn.SWITCH(I321,
"Rob","Robusta",
"Exc","Excelsa",
"Ara","Arabica",
"Lib","Liberica",
"")</f>
        <v>Excelsa</v>
      </c>
      <c r="O321" t="str" cm="1">
        <f t="array" ref="O321">_xlfn.SWITCH(J321,
"M","Medium",
"L","Light",
"D","Dark",
"")</f>
        <v>Medium</v>
      </c>
      <c r="P321" t="str">
        <f>_xlfn.XLOOKUP(Orders[[#This Row],[Customer ID]],customers!$A$1:$A$1001,customers!$I$1:$I$1001,,0)</f>
        <v>Yes</v>
      </c>
    </row>
    <row r="322" spans="1:16" x14ac:dyDescent="0.35">
      <c r="A322" s="2" t="s">
        <v>2291</v>
      </c>
      <c r="B322" s="4">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_xlfn.XLOOKUP(D322,products!$A$1:$A$49,products!$B$1:$B$49,,0)</f>
        <v>Ara</v>
      </c>
      <c r="J322" t="str">
        <f>_xlfn.XLOOKUP(D322,products!$A$1:$A$49,products!$C$1:$C$49,,0)</f>
        <v>L</v>
      </c>
      <c r="K322" s="7">
        <f>_xlfn.XLOOKUP(D322,products!$A$1:$A$49,products!$D$1:$D$49,,0)</f>
        <v>0.2</v>
      </c>
      <c r="L322" s="9">
        <f>_xlfn.XLOOKUP(D322,products!$A$1:$A$49,products!$E$1:$E$49,,0)</f>
        <v>3.8849999999999998</v>
      </c>
      <c r="M322" s="9">
        <f t="shared" si="4"/>
        <v>19.424999999999997</v>
      </c>
      <c r="N322" s="3" t="str" cm="1">
        <f t="array" ref="N322">_xlfn.SWITCH(I322,
"Rob","Robusta",
"Exc","Excelsa",
"Ara","Arabica",
"Lib","Liberica",
"")</f>
        <v>Arabica</v>
      </c>
      <c r="O322" t="str" cm="1">
        <f t="array" ref="O322">_xlfn.SWITCH(J322,
"M","Medium",
"L","Light",
"D","Dark",
"")</f>
        <v>Light</v>
      </c>
      <c r="P322" t="str">
        <f>_xlfn.XLOOKUP(Orders[[#This Row],[Customer ID]],customers!$A$1:$A$1001,customers!$I$1:$I$1001,,0)</f>
        <v>Yes</v>
      </c>
    </row>
    <row r="323" spans="1:16" x14ac:dyDescent="0.35">
      <c r="A323" s="2" t="s">
        <v>2301</v>
      </c>
      <c r="B323" s="4">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_xlfn.XLOOKUP(D323,products!$A$1:$A$49,products!$B$1:$B$49,,0)</f>
        <v>Ara</v>
      </c>
      <c r="J323" t="str">
        <f>_xlfn.XLOOKUP(D323,products!$A$1:$A$49,products!$C$1:$C$49,,0)</f>
        <v>M</v>
      </c>
      <c r="K323" s="7">
        <f>_xlfn.XLOOKUP(D323,products!$A$1:$A$49,products!$D$1:$D$49,,0)</f>
        <v>0.2</v>
      </c>
      <c r="L323" s="9">
        <f>_xlfn.XLOOKUP(D323,products!$A$1:$A$49,products!$E$1:$E$49,,0)</f>
        <v>3.375</v>
      </c>
      <c r="M323" s="9">
        <f t="shared" ref="M323:M386" si="5">L323*E323</f>
        <v>20.25</v>
      </c>
      <c r="N323" s="3" t="str" cm="1">
        <f t="array" ref="N323">_xlfn.SWITCH(I323,
"Rob","Robusta",
"Exc","Excelsa",
"Ara","Arabica",
"Lib","Liberica",
"")</f>
        <v>Arabica</v>
      </c>
      <c r="O323" t="str" cm="1">
        <f t="array" ref="O323">_xlfn.SWITCH(J323,
"M","Medium",
"L","Light",
"D","Dark",
"")</f>
        <v>Medium</v>
      </c>
      <c r="P323" t="str">
        <f>_xlfn.XLOOKUP(Orders[[#This Row],[Customer ID]],customers!$A$1:$A$1001,customers!$I$1:$I$1001,,0)</f>
        <v>Yes</v>
      </c>
    </row>
    <row r="324" spans="1:16" x14ac:dyDescent="0.35">
      <c r="A324" s="2" t="s">
        <v>2307</v>
      </c>
      <c r="B324" s="4">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_xlfn.XLOOKUP(D324,products!$A$1:$A$49,products!$B$1:$B$49,,0)</f>
        <v>Lib</v>
      </c>
      <c r="J324" t="str">
        <f>_xlfn.XLOOKUP(D324,products!$A$1:$A$49,products!$C$1:$C$49,,0)</f>
        <v>D</v>
      </c>
      <c r="K324" s="7">
        <f>_xlfn.XLOOKUP(D324,products!$A$1:$A$49,products!$D$1:$D$49,,0)</f>
        <v>0.5</v>
      </c>
      <c r="L324" s="9">
        <f>_xlfn.XLOOKUP(D324,products!$A$1:$A$49,products!$E$1:$E$49,,0)</f>
        <v>7.77</v>
      </c>
      <c r="M324" s="9">
        <f t="shared" si="5"/>
        <v>23.31</v>
      </c>
      <c r="N324" s="3" t="str" cm="1">
        <f t="array" ref="N324">_xlfn.SWITCH(I324,
"Rob","Robusta",
"Exc","Excelsa",
"Ara","Arabica",
"Lib","Liberica",
"")</f>
        <v>Liberica</v>
      </c>
      <c r="O324" t="str" cm="1">
        <f t="array" ref="O324">_xlfn.SWITCH(J324,
"M","Medium",
"L","Light",
"D","Dark",
"")</f>
        <v>Dark</v>
      </c>
      <c r="P324" t="str">
        <f>_xlfn.XLOOKUP(Orders[[#This Row],[Customer ID]],customers!$A$1:$A$1001,customers!$I$1:$I$1001,,0)</f>
        <v>No</v>
      </c>
    </row>
    <row r="325" spans="1:16" x14ac:dyDescent="0.35">
      <c r="A325" s="2" t="s">
        <v>2313</v>
      </c>
      <c r="B325" s="4">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_xlfn.XLOOKUP(D325,products!$A$1:$A$49,products!$B$1:$B$49,,0)</f>
        <v>Exc</v>
      </c>
      <c r="J325" t="str">
        <f>_xlfn.XLOOKUP(D325,products!$A$1:$A$49,products!$C$1:$C$49,,0)</f>
        <v>D</v>
      </c>
      <c r="K325" s="7">
        <f>_xlfn.XLOOKUP(D325,products!$A$1:$A$49,products!$D$1:$D$49,,0)</f>
        <v>0.2</v>
      </c>
      <c r="L325" s="9">
        <f>_xlfn.XLOOKUP(D325,products!$A$1:$A$49,products!$E$1:$E$49,,0)</f>
        <v>3.645</v>
      </c>
      <c r="M325" s="9">
        <f t="shared" si="5"/>
        <v>18.225000000000001</v>
      </c>
      <c r="N325" s="3" t="str" cm="1">
        <f t="array" ref="N325">_xlfn.SWITCH(I325,
"Rob","Robusta",
"Exc","Excelsa",
"Ara","Arabica",
"Lib","Liberica",
"")</f>
        <v>Excelsa</v>
      </c>
      <c r="O325" t="str" cm="1">
        <f t="array" ref="O325">_xlfn.SWITCH(J325,
"M","Medium",
"L","Light",
"D","Dark",
"")</f>
        <v>Dark</v>
      </c>
      <c r="P325" t="str">
        <f>_xlfn.XLOOKUP(Orders[[#This Row],[Customer ID]],customers!$A$1:$A$1001,customers!$I$1:$I$1001,,0)</f>
        <v>Yes</v>
      </c>
    </row>
    <row r="326" spans="1:16" x14ac:dyDescent="0.35">
      <c r="A326" s="2" t="s">
        <v>2319</v>
      </c>
      <c r="B326" s="4">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_xlfn.XLOOKUP(D326,products!$A$1:$A$49,products!$B$1:$B$49,,0)</f>
        <v>Exc</v>
      </c>
      <c r="J326" t="str">
        <f>_xlfn.XLOOKUP(D326,products!$A$1:$A$49,products!$C$1:$C$49,,0)</f>
        <v>M</v>
      </c>
      <c r="K326" s="7">
        <f>_xlfn.XLOOKUP(D326,products!$A$1:$A$49,products!$D$1:$D$49,,0)</f>
        <v>1</v>
      </c>
      <c r="L326" s="9">
        <f>_xlfn.XLOOKUP(D326,products!$A$1:$A$49,products!$E$1:$E$49,,0)</f>
        <v>13.75</v>
      </c>
      <c r="M326" s="9">
        <f t="shared" si="5"/>
        <v>13.75</v>
      </c>
      <c r="N326" s="3" t="str" cm="1">
        <f t="array" ref="N326">_xlfn.SWITCH(I326,
"Rob","Robusta",
"Exc","Excelsa",
"Ara","Arabica",
"Lib","Liberica",
"")</f>
        <v>Excelsa</v>
      </c>
      <c r="O326" t="str" cm="1">
        <f t="array" ref="O326">_xlfn.SWITCH(J326,
"M","Medium",
"L","Light",
"D","Dark",
"")</f>
        <v>Medium</v>
      </c>
      <c r="P326" t="str">
        <f>_xlfn.XLOOKUP(Orders[[#This Row],[Customer ID]],customers!$A$1:$A$1001,customers!$I$1:$I$1001,,0)</f>
        <v>No</v>
      </c>
    </row>
    <row r="327" spans="1:16" x14ac:dyDescent="0.35">
      <c r="A327" s="2" t="s">
        <v>2324</v>
      </c>
      <c r="B327" s="4">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_xlfn.XLOOKUP(D327,products!$A$1:$A$49,products!$B$1:$B$49,,0)</f>
        <v>Ara</v>
      </c>
      <c r="J327" t="str">
        <f>_xlfn.XLOOKUP(D327,products!$A$1:$A$49,products!$C$1:$C$49,,0)</f>
        <v>L</v>
      </c>
      <c r="K327" s="7">
        <f>_xlfn.XLOOKUP(D327,products!$A$1:$A$49,products!$D$1:$D$49,,0)</f>
        <v>2.5</v>
      </c>
      <c r="L327" s="9">
        <f>_xlfn.XLOOKUP(D327,products!$A$1:$A$49,products!$E$1:$E$49,,0)</f>
        <v>29.784999999999997</v>
      </c>
      <c r="M327" s="9">
        <f t="shared" si="5"/>
        <v>29.784999999999997</v>
      </c>
      <c r="N327" s="3" t="str" cm="1">
        <f t="array" ref="N327">_xlfn.SWITCH(I327,
"Rob","Robusta",
"Exc","Excelsa",
"Ara","Arabica",
"Lib","Liberica",
"")</f>
        <v>Arabica</v>
      </c>
      <c r="O327" t="str" cm="1">
        <f t="array" ref="O327">_xlfn.SWITCH(J327,
"M","Medium",
"L","Light",
"D","Dark",
"")</f>
        <v>Light</v>
      </c>
      <c r="P327" t="str">
        <f>_xlfn.XLOOKUP(Orders[[#This Row],[Customer ID]],customers!$A$1:$A$1001,customers!$I$1:$I$1001,,0)</f>
        <v>Yes</v>
      </c>
    </row>
    <row r="328" spans="1:16" x14ac:dyDescent="0.35">
      <c r="A328" s="2" t="s">
        <v>2330</v>
      </c>
      <c r="B328" s="4">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_xlfn.XLOOKUP(D328,products!$A$1:$A$49,products!$B$1:$B$49,,0)</f>
        <v>Rob</v>
      </c>
      <c r="J328" t="str">
        <f>_xlfn.XLOOKUP(D328,products!$A$1:$A$49,products!$C$1:$C$49,,0)</f>
        <v>D</v>
      </c>
      <c r="K328" s="7">
        <f>_xlfn.XLOOKUP(D328,products!$A$1:$A$49,products!$D$1:$D$49,,0)</f>
        <v>1</v>
      </c>
      <c r="L328" s="9">
        <f>_xlfn.XLOOKUP(D328,products!$A$1:$A$49,products!$E$1:$E$49,,0)</f>
        <v>8.9499999999999993</v>
      </c>
      <c r="M328" s="9">
        <f t="shared" si="5"/>
        <v>44.75</v>
      </c>
      <c r="N328" s="3" t="str" cm="1">
        <f t="array" ref="N328">_xlfn.SWITCH(I328,
"Rob","Robusta",
"Exc","Excelsa",
"Ara","Arabica",
"Lib","Liberica",
"")</f>
        <v>Robusta</v>
      </c>
      <c r="O328" t="str" cm="1">
        <f t="array" ref="O328">_xlfn.SWITCH(J328,
"M","Medium",
"L","Light",
"D","Dark",
"")</f>
        <v>Dark</v>
      </c>
      <c r="P328" t="str">
        <f>_xlfn.XLOOKUP(Orders[[#This Row],[Customer ID]],customers!$A$1:$A$1001,customers!$I$1:$I$1001,,0)</f>
        <v>No</v>
      </c>
    </row>
    <row r="329" spans="1:16" x14ac:dyDescent="0.35">
      <c r="A329" s="2" t="s">
        <v>2335</v>
      </c>
      <c r="B329" s="4">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_xlfn.XLOOKUP(D329,products!$A$1:$A$49,products!$B$1:$B$49,,0)</f>
        <v>Rob</v>
      </c>
      <c r="J329" t="str">
        <f>_xlfn.XLOOKUP(D329,products!$A$1:$A$49,products!$C$1:$C$49,,0)</f>
        <v>D</v>
      </c>
      <c r="K329" s="7">
        <f>_xlfn.XLOOKUP(D329,products!$A$1:$A$49,products!$D$1:$D$49,,0)</f>
        <v>1</v>
      </c>
      <c r="L329" s="9">
        <f>_xlfn.XLOOKUP(D329,products!$A$1:$A$49,products!$E$1:$E$49,,0)</f>
        <v>8.9499999999999993</v>
      </c>
      <c r="M329" s="9">
        <f t="shared" si="5"/>
        <v>44.75</v>
      </c>
      <c r="N329" s="3" t="str" cm="1">
        <f t="array" ref="N329">_xlfn.SWITCH(I329,
"Rob","Robusta",
"Exc","Excelsa",
"Ara","Arabica",
"Lib","Liberica",
"")</f>
        <v>Robusta</v>
      </c>
      <c r="O329" t="str" cm="1">
        <f t="array" ref="O329">_xlfn.SWITCH(J329,
"M","Medium",
"L","Light",
"D","Dark",
"")</f>
        <v>Dark</v>
      </c>
      <c r="P329" t="str">
        <f>_xlfn.XLOOKUP(Orders[[#This Row],[Customer ID]],customers!$A$1:$A$1001,customers!$I$1:$I$1001,,0)</f>
        <v>Yes</v>
      </c>
    </row>
    <row r="330" spans="1:16" x14ac:dyDescent="0.35">
      <c r="A330" s="2" t="s">
        <v>2341</v>
      </c>
      <c r="B330" s="4">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_xlfn.XLOOKUP(D330,products!$A$1:$A$49,products!$B$1:$B$49,,0)</f>
        <v>Lib</v>
      </c>
      <c r="J330" t="str">
        <f>_xlfn.XLOOKUP(D330,products!$A$1:$A$49,products!$C$1:$C$49,,0)</f>
        <v>L</v>
      </c>
      <c r="K330" s="7">
        <f>_xlfn.XLOOKUP(D330,products!$A$1:$A$49,products!$D$1:$D$49,,0)</f>
        <v>0.5</v>
      </c>
      <c r="L330" s="9">
        <f>_xlfn.XLOOKUP(D330,products!$A$1:$A$49,products!$E$1:$E$49,,0)</f>
        <v>9.51</v>
      </c>
      <c r="M330" s="9">
        <f t="shared" si="5"/>
        <v>38.04</v>
      </c>
      <c r="N330" s="3" t="str" cm="1">
        <f t="array" ref="N330">_xlfn.SWITCH(I330,
"Rob","Robusta",
"Exc","Excelsa",
"Ara","Arabica",
"Lib","Liberica",
"")</f>
        <v>Liberica</v>
      </c>
      <c r="O330" t="str" cm="1">
        <f t="array" ref="O330">_xlfn.SWITCH(J330,
"M","Medium",
"L","Light",
"D","Dark",
"")</f>
        <v>Light</v>
      </c>
      <c r="P330" t="str">
        <f>_xlfn.XLOOKUP(Orders[[#This Row],[Customer ID]],customers!$A$1:$A$1001,customers!$I$1:$I$1001,,0)</f>
        <v>Yes</v>
      </c>
    </row>
    <row r="331" spans="1:16" x14ac:dyDescent="0.35">
      <c r="A331" s="2" t="s">
        <v>2346</v>
      </c>
      <c r="B331" s="4">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_xlfn.XLOOKUP(D331,products!$A$1:$A$49,products!$B$1:$B$49,,0)</f>
        <v>Rob</v>
      </c>
      <c r="J331" t="str">
        <f>_xlfn.XLOOKUP(D331,products!$A$1:$A$49,products!$C$1:$C$49,,0)</f>
        <v>D</v>
      </c>
      <c r="K331" s="7">
        <f>_xlfn.XLOOKUP(D331,products!$A$1:$A$49,products!$D$1:$D$49,,0)</f>
        <v>0.5</v>
      </c>
      <c r="L331" s="9">
        <f>_xlfn.XLOOKUP(D331,products!$A$1:$A$49,products!$E$1:$E$49,,0)</f>
        <v>5.3699999999999992</v>
      </c>
      <c r="M331" s="9">
        <f t="shared" si="5"/>
        <v>21.479999999999997</v>
      </c>
      <c r="N331" s="3" t="str" cm="1">
        <f t="array" ref="N331">_xlfn.SWITCH(I331,
"Rob","Robusta",
"Exc","Excelsa",
"Ara","Arabica",
"Lib","Liberica",
"")</f>
        <v>Robusta</v>
      </c>
      <c r="O331" t="str" cm="1">
        <f t="array" ref="O331">_xlfn.SWITCH(J331,
"M","Medium",
"L","Light",
"D","Dark",
"")</f>
        <v>Dark</v>
      </c>
      <c r="P331" t="str">
        <f>_xlfn.XLOOKUP(Orders[[#This Row],[Customer ID]],customers!$A$1:$A$1001,customers!$I$1:$I$1001,,0)</f>
        <v>Yes</v>
      </c>
    </row>
    <row r="332" spans="1:16" x14ac:dyDescent="0.35">
      <c r="A332" s="2" t="s">
        <v>2351</v>
      </c>
      <c r="B332" s="4">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_xlfn.XLOOKUP(D332,products!$A$1:$A$49,products!$B$1:$B$49,,0)</f>
        <v>Rob</v>
      </c>
      <c r="J332" t="str">
        <f>_xlfn.XLOOKUP(D332,products!$A$1:$A$49,products!$C$1:$C$49,,0)</f>
        <v>D</v>
      </c>
      <c r="K332" s="7">
        <f>_xlfn.XLOOKUP(D332,products!$A$1:$A$49,products!$D$1:$D$49,,0)</f>
        <v>0.5</v>
      </c>
      <c r="L332" s="9">
        <f>_xlfn.XLOOKUP(D332,products!$A$1:$A$49,products!$E$1:$E$49,,0)</f>
        <v>5.3699999999999992</v>
      </c>
      <c r="M332" s="9">
        <f t="shared" si="5"/>
        <v>16.11</v>
      </c>
      <c r="N332" s="3" t="str" cm="1">
        <f t="array" ref="N332">_xlfn.SWITCH(I332,
"Rob","Robusta",
"Exc","Excelsa",
"Ara","Arabica",
"Lib","Liberica",
"")</f>
        <v>Robusta</v>
      </c>
      <c r="O332" t="str" cm="1">
        <f t="array" ref="O332">_xlfn.SWITCH(J332,
"M","Medium",
"L","Light",
"D","Dark",
"")</f>
        <v>Dark</v>
      </c>
      <c r="P332" t="str">
        <f>_xlfn.XLOOKUP(Orders[[#This Row],[Customer ID]],customers!$A$1:$A$1001,customers!$I$1:$I$1001,,0)</f>
        <v>No</v>
      </c>
    </row>
    <row r="333" spans="1:16" x14ac:dyDescent="0.35">
      <c r="A333" s="2" t="s">
        <v>2357</v>
      </c>
      <c r="B333" s="4">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_xlfn.XLOOKUP(D333,products!$A$1:$A$49,products!$B$1:$B$49,,0)</f>
        <v>Rob</v>
      </c>
      <c r="J333" t="str">
        <f>_xlfn.XLOOKUP(D333,products!$A$1:$A$49,products!$C$1:$C$49,,0)</f>
        <v>M</v>
      </c>
      <c r="K333" s="7">
        <f>_xlfn.XLOOKUP(D333,products!$A$1:$A$49,products!$D$1:$D$49,,0)</f>
        <v>2.5</v>
      </c>
      <c r="L333" s="9">
        <f>_xlfn.XLOOKUP(D333,products!$A$1:$A$49,products!$E$1:$E$49,,0)</f>
        <v>22.884999999999998</v>
      </c>
      <c r="M333" s="9">
        <f t="shared" si="5"/>
        <v>22.884999999999998</v>
      </c>
      <c r="N333" s="3" t="str" cm="1">
        <f t="array" ref="N333">_xlfn.SWITCH(I333,
"Rob","Robusta",
"Exc","Excelsa",
"Ara","Arabica",
"Lib","Liberica",
"")</f>
        <v>Robusta</v>
      </c>
      <c r="O333" t="str" cm="1">
        <f t="array" ref="O333">_xlfn.SWITCH(J333,
"M","Medium",
"L","Light",
"D","Dark",
"")</f>
        <v>Medium</v>
      </c>
      <c r="P333" t="str">
        <f>_xlfn.XLOOKUP(Orders[[#This Row],[Customer ID]],customers!$A$1:$A$1001,customers!$I$1:$I$1001,,0)</f>
        <v>Yes</v>
      </c>
    </row>
    <row r="334" spans="1:16" x14ac:dyDescent="0.35">
      <c r="A334" s="2" t="s">
        <v>2363</v>
      </c>
      <c r="B334" s="4">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_xlfn.XLOOKUP(D334,products!$A$1:$A$49,products!$B$1:$B$49,,0)</f>
        <v>Ara</v>
      </c>
      <c r="J334" t="str">
        <f>_xlfn.XLOOKUP(D334,products!$A$1:$A$49,products!$C$1:$C$49,,0)</f>
        <v>D</v>
      </c>
      <c r="K334" s="7">
        <f>_xlfn.XLOOKUP(D334,products!$A$1:$A$49,products!$D$1:$D$49,,0)</f>
        <v>0.5</v>
      </c>
      <c r="L334" s="9">
        <f>_xlfn.XLOOKUP(D334,products!$A$1:$A$49,products!$E$1:$E$49,,0)</f>
        <v>5.97</v>
      </c>
      <c r="M334" s="9">
        <f t="shared" si="5"/>
        <v>17.91</v>
      </c>
      <c r="N334" s="3" t="str" cm="1">
        <f t="array" ref="N334">_xlfn.SWITCH(I334,
"Rob","Robusta",
"Exc","Excelsa",
"Ara","Arabica",
"Lib","Liberica",
"")</f>
        <v>Arabica</v>
      </c>
      <c r="O334" t="str" cm="1">
        <f t="array" ref="O334">_xlfn.SWITCH(J334,
"M","Medium",
"L","Light",
"D","Dark",
"")</f>
        <v>Dark</v>
      </c>
      <c r="P334" t="str">
        <f>_xlfn.XLOOKUP(Orders[[#This Row],[Customer ID]],customers!$A$1:$A$1001,customers!$I$1:$I$1001,,0)</f>
        <v>Yes</v>
      </c>
    </row>
    <row r="335" spans="1:16" x14ac:dyDescent="0.35">
      <c r="A335" s="2" t="s">
        <v>2369</v>
      </c>
      <c r="B335" s="4">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_xlfn.XLOOKUP(D335,products!$A$1:$A$49,products!$B$1:$B$49,,0)</f>
        <v>Rob</v>
      </c>
      <c r="J335" t="str">
        <f>_xlfn.XLOOKUP(D335,products!$A$1:$A$49,products!$C$1:$C$49,,0)</f>
        <v>M</v>
      </c>
      <c r="K335" s="7">
        <f>_xlfn.XLOOKUP(D335,products!$A$1:$A$49,products!$D$1:$D$49,,0)</f>
        <v>0.5</v>
      </c>
      <c r="L335" s="9">
        <f>_xlfn.XLOOKUP(D335,products!$A$1:$A$49,products!$E$1:$E$49,,0)</f>
        <v>5.97</v>
      </c>
      <c r="M335" s="9">
        <f t="shared" si="5"/>
        <v>23.88</v>
      </c>
      <c r="N335" s="3" t="str" cm="1">
        <f t="array" ref="N335">_xlfn.SWITCH(I335,
"Rob","Robusta",
"Exc","Excelsa",
"Ara","Arabica",
"Lib","Liberica",
"")</f>
        <v>Robusta</v>
      </c>
      <c r="O335" t="str" cm="1">
        <f t="array" ref="O335">_xlfn.SWITCH(J335,
"M","Medium",
"L","Light",
"D","Dark",
"")</f>
        <v>Medium</v>
      </c>
      <c r="P335" t="str">
        <f>_xlfn.XLOOKUP(Orders[[#This Row],[Customer ID]],customers!$A$1:$A$1001,customers!$I$1:$I$1001,,0)</f>
        <v>Yes</v>
      </c>
    </row>
    <row r="336" spans="1:16" x14ac:dyDescent="0.35">
      <c r="A336" s="2" t="s">
        <v>2375</v>
      </c>
      <c r="B336" s="4">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_xlfn.XLOOKUP(D336,products!$A$1:$A$49,products!$B$1:$B$49,,0)</f>
        <v>Rob</v>
      </c>
      <c r="J336" t="str">
        <f>_xlfn.XLOOKUP(D336,products!$A$1:$A$49,products!$C$1:$C$49,,0)</f>
        <v>L</v>
      </c>
      <c r="K336" s="7">
        <f>_xlfn.XLOOKUP(D336,products!$A$1:$A$49,products!$D$1:$D$49,,0)</f>
        <v>1</v>
      </c>
      <c r="L336" s="9">
        <f>_xlfn.XLOOKUP(D336,products!$A$1:$A$49,products!$E$1:$E$49,,0)</f>
        <v>11.95</v>
      </c>
      <c r="M336" s="9">
        <f t="shared" si="5"/>
        <v>59.75</v>
      </c>
      <c r="N336" s="3" t="str" cm="1">
        <f t="array" ref="N336">_xlfn.SWITCH(I336,
"Rob","Robusta",
"Exc","Excelsa",
"Ara","Arabica",
"Lib","Liberica",
"")</f>
        <v>Robusta</v>
      </c>
      <c r="O336" t="str" cm="1">
        <f t="array" ref="O336">_xlfn.SWITCH(J336,
"M","Medium",
"L","Light",
"D","Dark",
"")</f>
        <v>Light</v>
      </c>
      <c r="P336" t="str">
        <f>_xlfn.XLOOKUP(Orders[[#This Row],[Customer ID]],customers!$A$1:$A$1001,customers!$I$1:$I$1001,,0)</f>
        <v>No</v>
      </c>
    </row>
    <row r="337" spans="1:16" x14ac:dyDescent="0.35">
      <c r="A337" s="2" t="s">
        <v>2379</v>
      </c>
      <c r="B337" s="4">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_xlfn.XLOOKUP(D337,products!$A$1:$A$49,products!$B$1:$B$49,,0)</f>
        <v>Lib</v>
      </c>
      <c r="J337" t="str">
        <f>_xlfn.XLOOKUP(D337,products!$A$1:$A$49,products!$C$1:$C$49,,0)</f>
        <v>L</v>
      </c>
      <c r="K337" s="7">
        <f>_xlfn.XLOOKUP(D337,products!$A$1:$A$49,products!$D$1:$D$49,,0)</f>
        <v>0.2</v>
      </c>
      <c r="L337" s="9">
        <f>_xlfn.XLOOKUP(D337,products!$A$1:$A$49,products!$E$1:$E$49,,0)</f>
        <v>4.7549999999999999</v>
      </c>
      <c r="M337" s="9">
        <f t="shared" si="5"/>
        <v>28.53</v>
      </c>
      <c r="N337" s="3" t="str" cm="1">
        <f t="array" ref="N337">_xlfn.SWITCH(I337,
"Rob","Robusta",
"Exc","Excelsa",
"Ara","Arabica",
"Lib","Liberica",
"")</f>
        <v>Liberica</v>
      </c>
      <c r="O337" t="str" cm="1">
        <f t="array" ref="O337">_xlfn.SWITCH(J337,
"M","Medium",
"L","Light",
"D","Dark",
"")</f>
        <v>Light</v>
      </c>
      <c r="P337" t="str">
        <f>_xlfn.XLOOKUP(Orders[[#This Row],[Customer ID]],customers!$A$1:$A$1001,customers!$I$1:$I$1001,,0)</f>
        <v>Yes</v>
      </c>
    </row>
    <row r="338" spans="1:16" x14ac:dyDescent="0.35">
      <c r="A338" s="2" t="s">
        <v>2385</v>
      </c>
      <c r="B338" s="4">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_xlfn.XLOOKUP(D338,products!$A$1:$A$49,products!$B$1:$B$49,,0)</f>
        <v>Ara</v>
      </c>
      <c r="J338" t="str">
        <f>_xlfn.XLOOKUP(D338,products!$A$1:$A$49,products!$C$1:$C$49,,0)</f>
        <v>M</v>
      </c>
      <c r="K338" s="7">
        <f>_xlfn.XLOOKUP(D338,products!$A$1:$A$49,products!$D$1:$D$49,,0)</f>
        <v>1</v>
      </c>
      <c r="L338" s="9">
        <f>_xlfn.XLOOKUP(D338,products!$A$1:$A$49,products!$E$1:$E$49,,0)</f>
        <v>11.25</v>
      </c>
      <c r="M338" s="9">
        <f t="shared" si="5"/>
        <v>45</v>
      </c>
      <c r="N338" s="3" t="str" cm="1">
        <f t="array" ref="N338">_xlfn.SWITCH(I338,
"Rob","Robusta",
"Exc","Excelsa",
"Ara","Arabica",
"Lib","Liberica",
"")</f>
        <v>Arabica</v>
      </c>
      <c r="O338" t="str" cm="1">
        <f t="array" ref="O338">_xlfn.SWITCH(J338,
"M","Medium",
"L","Light",
"D","Dark",
"")</f>
        <v>Medium</v>
      </c>
      <c r="P338" t="str">
        <f>_xlfn.XLOOKUP(Orders[[#This Row],[Customer ID]],customers!$A$1:$A$1001,customers!$I$1:$I$1001,,0)</f>
        <v>No</v>
      </c>
    </row>
    <row r="339" spans="1:16" x14ac:dyDescent="0.35">
      <c r="A339" s="2" t="s">
        <v>2391</v>
      </c>
      <c r="B339" s="4">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_xlfn.XLOOKUP(D339,products!$A$1:$A$49,products!$B$1:$B$49,,0)</f>
        <v>Exc</v>
      </c>
      <c r="J339" t="str">
        <f>_xlfn.XLOOKUP(D339,products!$A$1:$A$49,products!$C$1:$C$49,,0)</f>
        <v>D</v>
      </c>
      <c r="K339" s="7">
        <f>_xlfn.XLOOKUP(D339,products!$A$1:$A$49,products!$D$1:$D$49,,0)</f>
        <v>2.5</v>
      </c>
      <c r="L339" s="9">
        <f>_xlfn.XLOOKUP(D339,products!$A$1:$A$49,products!$E$1:$E$49,,0)</f>
        <v>27.945</v>
      </c>
      <c r="M339" s="9">
        <f t="shared" si="5"/>
        <v>55.89</v>
      </c>
      <c r="N339" s="3" t="str" cm="1">
        <f t="array" ref="N339">_xlfn.SWITCH(I339,
"Rob","Robusta",
"Exc","Excelsa",
"Ara","Arabica",
"Lib","Liberica",
"")</f>
        <v>Excelsa</v>
      </c>
      <c r="O339" t="str" cm="1">
        <f t="array" ref="O339">_xlfn.SWITCH(J339,
"M","Medium",
"L","Light",
"D","Dark",
"")</f>
        <v>Dark</v>
      </c>
      <c r="P339" t="str">
        <f>_xlfn.XLOOKUP(Orders[[#This Row],[Customer ID]],customers!$A$1:$A$1001,customers!$I$1:$I$1001,,0)</f>
        <v>No</v>
      </c>
    </row>
    <row r="340" spans="1:16" x14ac:dyDescent="0.35">
      <c r="A340" s="2" t="s">
        <v>2396</v>
      </c>
      <c r="B340" s="4">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_xlfn.XLOOKUP(D340,products!$A$1:$A$49,products!$B$1:$B$49,,0)</f>
        <v>Exc</v>
      </c>
      <c r="J340" t="str">
        <f>_xlfn.XLOOKUP(D340,products!$A$1:$A$49,products!$C$1:$C$49,,0)</f>
        <v>L</v>
      </c>
      <c r="K340" s="7">
        <f>_xlfn.XLOOKUP(D340,products!$A$1:$A$49,products!$D$1:$D$49,,0)</f>
        <v>1</v>
      </c>
      <c r="L340" s="9">
        <f>_xlfn.XLOOKUP(D340,products!$A$1:$A$49,products!$E$1:$E$49,,0)</f>
        <v>14.85</v>
      </c>
      <c r="M340" s="9">
        <f t="shared" si="5"/>
        <v>59.4</v>
      </c>
      <c r="N340" s="3" t="str" cm="1">
        <f t="array" ref="N340">_xlfn.SWITCH(I340,
"Rob","Robusta",
"Exc","Excelsa",
"Ara","Arabica",
"Lib","Liberica",
"")</f>
        <v>Excelsa</v>
      </c>
      <c r="O340" t="str" cm="1">
        <f t="array" ref="O340">_xlfn.SWITCH(J340,
"M","Medium",
"L","Light",
"D","Dark",
"")</f>
        <v>Light</v>
      </c>
      <c r="P340" t="str">
        <f>_xlfn.XLOOKUP(Orders[[#This Row],[Customer ID]],customers!$A$1:$A$1001,customers!$I$1:$I$1001,,0)</f>
        <v>No</v>
      </c>
    </row>
    <row r="341" spans="1:16" x14ac:dyDescent="0.35">
      <c r="A341" s="2" t="s">
        <v>2402</v>
      </c>
      <c r="B341" s="4">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_xlfn.XLOOKUP(D341,products!$A$1:$A$49,products!$B$1:$B$49,,0)</f>
        <v>Exc</v>
      </c>
      <c r="J341" t="str">
        <f>_xlfn.XLOOKUP(D341,products!$A$1:$A$49,products!$C$1:$C$49,,0)</f>
        <v>D</v>
      </c>
      <c r="K341" s="7">
        <f>_xlfn.XLOOKUP(D341,products!$A$1:$A$49,products!$D$1:$D$49,,0)</f>
        <v>0.2</v>
      </c>
      <c r="L341" s="9">
        <f>_xlfn.XLOOKUP(D341,products!$A$1:$A$49,products!$E$1:$E$49,,0)</f>
        <v>3.645</v>
      </c>
      <c r="M341" s="9">
        <f t="shared" si="5"/>
        <v>7.29</v>
      </c>
      <c r="N341" s="3" t="str" cm="1">
        <f t="array" ref="N341">_xlfn.SWITCH(I341,
"Rob","Robusta",
"Exc","Excelsa",
"Ara","Arabica",
"Lib","Liberica",
"")</f>
        <v>Excelsa</v>
      </c>
      <c r="O341" t="str" cm="1">
        <f t="array" ref="O341">_xlfn.SWITCH(J341,
"M","Medium",
"L","Light",
"D","Dark",
"")</f>
        <v>Dark</v>
      </c>
      <c r="P341" t="str">
        <f>_xlfn.XLOOKUP(Orders[[#This Row],[Customer ID]],customers!$A$1:$A$1001,customers!$I$1:$I$1001,,0)</f>
        <v>Yes</v>
      </c>
    </row>
    <row r="342" spans="1:16" x14ac:dyDescent="0.35">
      <c r="A342" s="2" t="s">
        <v>2408</v>
      </c>
      <c r="B342" s="4">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_xlfn.XLOOKUP(D342,products!$A$1:$A$49,products!$B$1:$B$49,,0)</f>
        <v>Exc</v>
      </c>
      <c r="J342" t="str">
        <f>_xlfn.XLOOKUP(D342,products!$A$1:$A$49,products!$C$1:$C$49,,0)</f>
        <v>D</v>
      </c>
      <c r="K342" s="7">
        <f>_xlfn.XLOOKUP(D342,products!$A$1:$A$49,products!$D$1:$D$49,,0)</f>
        <v>0.5</v>
      </c>
      <c r="L342" s="9">
        <f>_xlfn.XLOOKUP(D342,products!$A$1:$A$49,products!$E$1:$E$49,,0)</f>
        <v>7.29</v>
      </c>
      <c r="M342" s="9">
        <f t="shared" si="5"/>
        <v>7.29</v>
      </c>
      <c r="N342" s="3" t="str" cm="1">
        <f t="array" ref="N342">_xlfn.SWITCH(I342,
"Rob","Robusta",
"Exc","Excelsa",
"Ara","Arabica",
"Lib","Liberica",
"")</f>
        <v>Excelsa</v>
      </c>
      <c r="O342" t="str" cm="1">
        <f t="array" ref="O342">_xlfn.SWITCH(J342,
"M","Medium",
"L","Light",
"D","Dark",
"")</f>
        <v>Dark</v>
      </c>
      <c r="P342" t="str">
        <f>_xlfn.XLOOKUP(Orders[[#This Row],[Customer ID]],customers!$A$1:$A$1001,customers!$I$1:$I$1001,,0)</f>
        <v>Yes</v>
      </c>
    </row>
    <row r="343" spans="1:16" x14ac:dyDescent="0.35">
      <c r="A343" s="2" t="s">
        <v>2414</v>
      </c>
      <c r="B343" s="4">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_xlfn.XLOOKUP(D343,products!$A$1:$A$49,products!$B$1:$B$49,,0)</f>
        <v>Exc</v>
      </c>
      <c r="J343" t="str">
        <f>_xlfn.XLOOKUP(D343,products!$A$1:$A$49,products!$C$1:$C$49,,0)</f>
        <v>L</v>
      </c>
      <c r="K343" s="7">
        <f>_xlfn.XLOOKUP(D343,products!$A$1:$A$49,products!$D$1:$D$49,,0)</f>
        <v>0.5</v>
      </c>
      <c r="L343" s="9">
        <f>_xlfn.XLOOKUP(D343,products!$A$1:$A$49,products!$E$1:$E$49,,0)</f>
        <v>8.91</v>
      </c>
      <c r="M343" s="9">
        <f t="shared" si="5"/>
        <v>17.82</v>
      </c>
      <c r="N343" s="3" t="str" cm="1">
        <f t="array" ref="N343">_xlfn.SWITCH(I343,
"Rob","Robusta",
"Exc","Excelsa",
"Ara","Arabica",
"Lib","Liberica",
"")</f>
        <v>Excelsa</v>
      </c>
      <c r="O343" t="str" cm="1">
        <f t="array" ref="O343">_xlfn.SWITCH(J343,
"M","Medium",
"L","Light",
"D","Dark",
"")</f>
        <v>Light</v>
      </c>
      <c r="P343" t="str">
        <f>_xlfn.XLOOKUP(Orders[[#This Row],[Customer ID]],customers!$A$1:$A$1001,customers!$I$1:$I$1001,,0)</f>
        <v>No</v>
      </c>
    </row>
    <row r="344" spans="1:16" x14ac:dyDescent="0.35">
      <c r="A344" s="2" t="s">
        <v>2414</v>
      </c>
      <c r="B344" s="4">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_xlfn.XLOOKUP(D344,products!$A$1:$A$49,products!$B$1:$B$49,,0)</f>
        <v>Lib</v>
      </c>
      <c r="J344" t="str">
        <f>_xlfn.XLOOKUP(D344,products!$A$1:$A$49,products!$C$1:$C$49,,0)</f>
        <v>D</v>
      </c>
      <c r="K344" s="7">
        <f>_xlfn.XLOOKUP(D344,products!$A$1:$A$49,products!$D$1:$D$49,,0)</f>
        <v>0.5</v>
      </c>
      <c r="L344" s="9">
        <f>_xlfn.XLOOKUP(D344,products!$A$1:$A$49,products!$E$1:$E$49,,0)</f>
        <v>7.77</v>
      </c>
      <c r="M344" s="9">
        <f t="shared" si="5"/>
        <v>38.849999999999994</v>
      </c>
      <c r="N344" s="3" t="str" cm="1">
        <f t="array" ref="N344">_xlfn.SWITCH(I344,
"Rob","Robusta",
"Exc","Excelsa",
"Ara","Arabica",
"Lib","Liberica",
"")</f>
        <v>Liberica</v>
      </c>
      <c r="O344" t="str" cm="1">
        <f t="array" ref="O344">_xlfn.SWITCH(J344,
"M","Medium",
"L","Light",
"D","Dark",
"")</f>
        <v>Dark</v>
      </c>
      <c r="P344" t="str">
        <f>_xlfn.XLOOKUP(Orders[[#This Row],[Customer ID]],customers!$A$1:$A$1001,customers!$I$1:$I$1001,,0)</f>
        <v>No</v>
      </c>
    </row>
    <row r="345" spans="1:16" x14ac:dyDescent="0.35">
      <c r="A345" s="2" t="s">
        <v>2424</v>
      </c>
      <c r="B345" s="4">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_xlfn.XLOOKUP(D345,products!$A$1:$A$49,products!$B$1:$B$49,,0)</f>
        <v>Rob</v>
      </c>
      <c r="J345" t="str">
        <f>_xlfn.XLOOKUP(D345,products!$A$1:$A$49,products!$C$1:$C$49,,0)</f>
        <v>D</v>
      </c>
      <c r="K345" s="7">
        <f>_xlfn.XLOOKUP(D345,products!$A$1:$A$49,products!$D$1:$D$49,,0)</f>
        <v>0.5</v>
      </c>
      <c r="L345" s="9">
        <f>_xlfn.XLOOKUP(D345,products!$A$1:$A$49,products!$E$1:$E$49,,0)</f>
        <v>5.3699999999999992</v>
      </c>
      <c r="M345" s="9">
        <f t="shared" si="5"/>
        <v>32.22</v>
      </c>
      <c r="N345" s="3" t="str" cm="1">
        <f t="array" ref="N345">_xlfn.SWITCH(I345,
"Rob","Robusta",
"Exc","Excelsa",
"Ara","Arabica",
"Lib","Liberica",
"")</f>
        <v>Robusta</v>
      </c>
      <c r="O345" t="str" cm="1">
        <f t="array" ref="O345">_xlfn.SWITCH(J345,
"M","Medium",
"L","Light",
"D","Dark",
"")</f>
        <v>Dark</v>
      </c>
      <c r="P345" t="str">
        <f>_xlfn.XLOOKUP(Orders[[#This Row],[Customer ID]],customers!$A$1:$A$1001,customers!$I$1:$I$1001,,0)</f>
        <v>No</v>
      </c>
    </row>
    <row r="346" spans="1:16" x14ac:dyDescent="0.35">
      <c r="A346" s="2" t="s">
        <v>2429</v>
      </c>
      <c r="B346" s="4">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_xlfn.XLOOKUP(D346,products!$A$1:$A$49,products!$B$1:$B$49,,0)</f>
        <v>Rob</v>
      </c>
      <c r="J346" t="str">
        <f>_xlfn.XLOOKUP(D346,products!$A$1:$A$49,products!$C$1:$C$49,,0)</f>
        <v>M</v>
      </c>
      <c r="K346" s="7">
        <f>_xlfn.XLOOKUP(D346,products!$A$1:$A$49,products!$D$1:$D$49,,0)</f>
        <v>1</v>
      </c>
      <c r="L346" s="9">
        <f>_xlfn.XLOOKUP(D346,products!$A$1:$A$49,products!$E$1:$E$49,,0)</f>
        <v>9.9499999999999993</v>
      </c>
      <c r="M346" s="9">
        <f t="shared" si="5"/>
        <v>19.899999999999999</v>
      </c>
      <c r="N346" s="3" t="str" cm="1">
        <f t="array" ref="N346">_xlfn.SWITCH(I346,
"Rob","Robusta",
"Exc","Excelsa",
"Ara","Arabica",
"Lib","Liberica",
"")</f>
        <v>Robusta</v>
      </c>
      <c r="O346" t="str" cm="1">
        <f t="array" ref="O346">_xlfn.SWITCH(J346,
"M","Medium",
"L","Light",
"D","Dark",
"")</f>
        <v>Medium</v>
      </c>
      <c r="P346" t="str">
        <f>_xlfn.XLOOKUP(Orders[[#This Row],[Customer ID]],customers!$A$1:$A$1001,customers!$I$1:$I$1001,,0)</f>
        <v>Yes</v>
      </c>
    </row>
    <row r="347" spans="1:16" x14ac:dyDescent="0.35">
      <c r="A347" s="2" t="s">
        <v>2434</v>
      </c>
      <c r="B347" s="4">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_xlfn.XLOOKUP(D347,products!$A$1:$A$49,products!$B$1:$B$49,,0)</f>
        <v>Rob</v>
      </c>
      <c r="J347" t="str">
        <f>_xlfn.XLOOKUP(D347,products!$A$1:$A$49,products!$C$1:$C$49,,0)</f>
        <v>L</v>
      </c>
      <c r="K347" s="7">
        <f>_xlfn.XLOOKUP(D347,products!$A$1:$A$49,products!$D$1:$D$49,,0)</f>
        <v>1</v>
      </c>
      <c r="L347" s="9">
        <f>_xlfn.XLOOKUP(D347,products!$A$1:$A$49,products!$E$1:$E$49,,0)</f>
        <v>11.95</v>
      </c>
      <c r="M347" s="9">
        <f t="shared" si="5"/>
        <v>59.75</v>
      </c>
      <c r="N347" s="3" t="str" cm="1">
        <f t="array" ref="N347">_xlfn.SWITCH(I347,
"Rob","Robusta",
"Exc","Excelsa",
"Ara","Arabica",
"Lib","Liberica",
"")</f>
        <v>Robusta</v>
      </c>
      <c r="O347" t="str" cm="1">
        <f t="array" ref="O347">_xlfn.SWITCH(J347,
"M","Medium",
"L","Light",
"D","Dark",
"")</f>
        <v>Light</v>
      </c>
      <c r="P347" t="str">
        <f>_xlfn.XLOOKUP(Orders[[#This Row],[Customer ID]],customers!$A$1:$A$1001,customers!$I$1:$I$1001,,0)</f>
        <v>No</v>
      </c>
    </row>
    <row r="348" spans="1:16" x14ac:dyDescent="0.35">
      <c r="A348" s="2" t="s">
        <v>2440</v>
      </c>
      <c r="B348" s="4">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_xlfn.XLOOKUP(D348,products!$A$1:$A$49,products!$B$1:$B$49,,0)</f>
        <v>Ara</v>
      </c>
      <c r="J348" t="str">
        <f>_xlfn.XLOOKUP(D348,products!$A$1:$A$49,products!$C$1:$C$49,,0)</f>
        <v>L</v>
      </c>
      <c r="K348" s="7">
        <f>_xlfn.XLOOKUP(D348,products!$A$1:$A$49,products!$D$1:$D$49,,0)</f>
        <v>0.5</v>
      </c>
      <c r="L348" s="9">
        <f>_xlfn.XLOOKUP(D348,products!$A$1:$A$49,products!$E$1:$E$49,,0)</f>
        <v>7.77</v>
      </c>
      <c r="M348" s="9">
        <f t="shared" si="5"/>
        <v>23.31</v>
      </c>
      <c r="N348" s="3" t="str" cm="1">
        <f t="array" ref="N348">_xlfn.SWITCH(I348,
"Rob","Robusta",
"Exc","Excelsa",
"Ara","Arabica",
"Lib","Liberica",
"")</f>
        <v>Arabica</v>
      </c>
      <c r="O348" t="str" cm="1">
        <f t="array" ref="O348">_xlfn.SWITCH(J348,
"M","Medium",
"L","Light",
"D","Dark",
"")</f>
        <v>Light</v>
      </c>
      <c r="P348" t="str">
        <f>_xlfn.XLOOKUP(Orders[[#This Row],[Customer ID]],customers!$A$1:$A$1001,customers!$I$1:$I$1001,,0)</f>
        <v>Yes</v>
      </c>
    </row>
    <row r="349" spans="1:16" x14ac:dyDescent="0.35">
      <c r="A349" s="2" t="s">
        <v>2446</v>
      </c>
      <c r="B349" s="4">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_xlfn.XLOOKUP(D349,products!$A$1:$A$49,products!$B$1:$B$49,,0)</f>
        <v>Lib</v>
      </c>
      <c r="J349" t="str">
        <f>_xlfn.XLOOKUP(D349,products!$A$1:$A$49,products!$C$1:$C$49,,0)</f>
        <v>M</v>
      </c>
      <c r="K349" s="7">
        <f>_xlfn.XLOOKUP(D349,products!$A$1:$A$49,products!$D$1:$D$49,,0)</f>
        <v>1</v>
      </c>
      <c r="L349" s="9">
        <f>_xlfn.XLOOKUP(D349,products!$A$1:$A$49,products!$E$1:$E$49,,0)</f>
        <v>14.55</v>
      </c>
      <c r="M349" s="9">
        <f t="shared" si="5"/>
        <v>43.650000000000006</v>
      </c>
      <c r="N349" s="3" t="str" cm="1">
        <f t="array" ref="N349">_xlfn.SWITCH(I349,
"Rob","Robusta",
"Exc","Excelsa",
"Ara","Arabica",
"Lib","Liberica",
"")</f>
        <v>Liberica</v>
      </c>
      <c r="O349" t="str" cm="1">
        <f t="array" ref="O349">_xlfn.SWITCH(J349,
"M","Medium",
"L","Light",
"D","Dark",
"")</f>
        <v>Medium</v>
      </c>
      <c r="P349" t="str">
        <f>_xlfn.XLOOKUP(Orders[[#This Row],[Customer ID]],customers!$A$1:$A$1001,customers!$I$1:$I$1001,,0)</f>
        <v>No</v>
      </c>
    </row>
    <row r="350" spans="1:16" x14ac:dyDescent="0.35">
      <c r="A350" s="2" t="s">
        <v>2452</v>
      </c>
      <c r="B350" s="4">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_xlfn.XLOOKUP(D350,products!$A$1:$A$49,products!$B$1:$B$49,,0)</f>
        <v>Exc</v>
      </c>
      <c r="J350" t="str">
        <f>_xlfn.XLOOKUP(D350,products!$A$1:$A$49,products!$C$1:$C$49,,0)</f>
        <v>L</v>
      </c>
      <c r="K350" s="7">
        <f>_xlfn.XLOOKUP(D350,products!$A$1:$A$49,products!$D$1:$D$49,,0)</f>
        <v>2.5</v>
      </c>
      <c r="L350" s="9">
        <f>_xlfn.XLOOKUP(D350,products!$A$1:$A$49,products!$E$1:$E$49,,0)</f>
        <v>34.154999999999994</v>
      </c>
      <c r="M350" s="9">
        <f t="shared" si="5"/>
        <v>204.92999999999995</v>
      </c>
      <c r="N350" s="3" t="str" cm="1">
        <f t="array" ref="N350">_xlfn.SWITCH(I350,
"Rob","Robusta",
"Exc","Excelsa",
"Ara","Arabica",
"Lib","Liberica",
"")</f>
        <v>Excelsa</v>
      </c>
      <c r="O350" t="str" cm="1">
        <f t="array" ref="O350">_xlfn.SWITCH(J350,
"M","Medium",
"L","Light",
"D","Dark",
"")</f>
        <v>Light</v>
      </c>
      <c r="P350" t="str">
        <f>_xlfn.XLOOKUP(Orders[[#This Row],[Customer ID]],customers!$A$1:$A$1001,customers!$I$1:$I$1001,,0)</f>
        <v>No</v>
      </c>
    </row>
    <row r="351" spans="1:16" x14ac:dyDescent="0.35">
      <c r="A351" s="2" t="s">
        <v>2458</v>
      </c>
      <c r="B351" s="4">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_xlfn.XLOOKUP(D351,products!$A$1:$A$49,products!$B$1:$B$49,,0)</f>
        <v>Rob</v>
      </c>
      <c r="J351" t="str">
        <f>_xlfn.XLOOKUP(D351,products!$A$1:$A$49,products!$C$1:$C$49,,0)</f>
        <v>L</v>
      </c>
      <c r="K351" s="7">
        <f>_xlfn.XLOOKUP(D351,products!$A$1:$A$49,products!$D$1:$D$49,,0)</f>
        <v>0.2</v>
      </c>
      <c r="L351" s="9">
        <f>_xlfn.XLOOKUP(D351,products!$A$1:$A$49,products!$E$1:$E$49,,0)</f>
        <v>3.5849999999999995</v>
      </c>
      <c r="M351" s="9">
        <f t="shared" si="5"/>
        <v>14.339999999999998</v>
      </c>
      <c r="N351" s="3" t="str" cm="1">
        <f t="array" ref="N351">_xlfn.SWITCH(I351,
"Rob","Robusta",
"Exc","Excelsa",
"Ara","Arabica",
"Lib","Liberica",
"")</f>
        <v>Robusta</v>
      </c>
      <c r="O351" t="str" cm="1">
        <f t="array" ref="O351">_xlfn.SWITCH(J351,
"M","Medium",
"L","Light",
"D","Dark",
"")</f>
        <v>Light</v>
      </c>
      <c r="P351" t="str">
        <f>_xlfn.XLOOKUP(Orders[[#This Row],[Customer ID]],customers!$A$1:$A$1001,customers!$I$1:$I$1001,,0)</f>
        <v>No</v>
      </c>
    </row>
    <row r="352" spans="1:16" x14ac:dyDescent="0.35">
      <c r="A352" s="2" t="s">
        <v>2464</v>
      </c>
      <c r="B352" s="4">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_xlfn.XLOOKUP(D352,products!$A$1:$A$49,products!$B$1:$B$49,,0)</f>
        <v>Ara</v>
      </c>
      <c r="J352" t="str">
        <f>_xlfn.XLOOKUP(D352,products!$A$1:$A$49,products!$C$1:$C$49,,0)</f>
        <v>D</v>
      </c>
      <c r="K352" s="7">
        <f>_xlfn.XLOOKUP(D352,products!$A$1:$A$49,products!$D$1:$D$49,,0)</f>
        <v>0.5</v>
      </c>
      <c r="L352" s="9">
        <f>_xlfn.XLOOKUP(D352,products!$A$1:$A$49,products!$E$1:$E$49,,0)</f>
        <v>5.97</v>
      </c>
      <c r="M352" s="9">
        <f t="shared" si="5"/>
        <v>23.88</v>
      </c>
      <c r="N352" s="3" t="str" cm="1">
        <f t="array" ref="N352">_xlfn.SWITCH(I352,
"Rob","Robusta",
"Exc","Excelsa",
"Ara","Arabica",
"Lib","Liberica",
"")</f>
        <v>Arabica</v>
      </c>
      <c r="O352" t="str" cm="1">
        <f t="array" ref="O352">_xlfn.SWITCH(J352,
"M","Medium",
"L","Light",
"D","Dark",
"")</f>
        <v>Dark</v>
      </c>
      <c r="P352" t="str">
        <f>_xlfn.XLOOKUP(Orders[[#This Row],[Customer ID]],customers!$A$1:$A$1001,customers!$I$1:$I$1001,,0)</f>
        <v>No</v>
      </c>
    </row>
    <row r="353" spans="1:16" x14ac:dyDescent="0.35">
      <c r="A353" s="2" t="s">
        <v>2470</v>
      </c>
      <c r="B353" s="4">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_xlfn.XLOOKUP(D353,products!$A$1:$A$49,products!$B$1:$B$49,,0)</f>
        <v>Ara</v>
      </c>
      <c r="J353" t="str">
        <f>_xlfn.XLOOKUP(D353,products!$A$1:$A$49,products!$C$1:$C$49,,0)</f>
        <v>M</v>
      </c>
      <c r="K353" s="7">
        <f>_xlfn.XLOOKUP(D353,products!$A$1:$A$49,products!$D$1:$D$49,,0)</f>
        <v>1</v>
      </c>
      <c r="L353" s="9">
        <f>_xlfn.XLOOKUP(D353,products!$A$1:$A$49,products!$E$1:$E$49,,0)</f>
        <v>11.25</v>
      </c>
      <c r="M353" s="9">
        <f t="shared" si="5"/>
        <v>22.5</v>
      </c>
      <c r="N353" s="3" t="str" cm="1">
        <f t="array" ref="N353">_xlfn.SWITCH(I353,
"Rob","Robusta",
"Exc","Excelsa",
"Ara","Arabica",
"Lib","Liberica",
"")</f>
        <v>Arabica</v>
      </c>
      <c r="O353" t="str" cm="1">
        <f t="array" ref="O353">_xlfn.SWITCH(J353,
"M","Medium",
"L","Light",
"D","Dark",
"")</f>
        <v>Medium</v>
      </c>
      <c r="P353" t="str">
        <f>_xlfn.XLOOKUP(Orders[[#This Row],[Customer ID]],customers!$A$1:$A$1001,customers!$I$1:$I$1001,,0)</f>
        <v>No</v>
      </c>
    </row>
    <row r="354" spans="1:16" x14ac:dyDescent="0.35">
      <c r="A354" s="2" t="s">
        <v>2476</v>
      </c>
      <c r="B354" s="4">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_xlfn.XLOOKUP(D354,products!$A$1:$A$49,products!$B$1:$B$49,,0)</f>
        <v>Exc</v>
      </c>
      <c r="J354" t="str">
        <f>_xlfn.XLOOKUP(D354,products!$A$1:$A$49,products!$C$1:$C$49,,0)</f>
        <v>D</v>
      </c>
      <c r="K354" s="7">
        <f>_xlfn.XLOOKUP(D354,products!$A$1:$A$49,products!$D$1:$D$49,,0)</f>
        <v>0.5</v>
      </c>
      <c r="L354" s="9">
        <f>_xlfn.XLOOKUP(D354,products!$A$1:$A$49,products!$E$1:$E$49,,0)</f>
        <v>7.29</v>
      </c>
      <c r="M354" s="9">
        <f t="shared" si="5"/>
        <v>36.450000000000003</v>
      </c>
      <c r="N354" s="3" t="str" cm="1">
        <f t="array" ref="N354">_xlfn.SWITCH(I354,
"Rob","Robusta",
"Exc","Excelsa",
"Ara","Arabica",
"Lib","Liberica",
"")</f>
        <v>Excelsa</v>
      </c>
      <c r="O354" t="str" cm="1">
        <f t="array" ref="O354">_xlfn.SWITCH(J354,
"M","Medium",
"L","Light",
"D","Dark",
"")</f>
        <v>Dark</v>
      </c>
      <c r="P354" t="str">
        <f>_xlfn.XLOOKUP(Orders[[#This Row],[Customer ID]],customers!$A$1:$A$1001,customers!$I$1:$I$1001,,0)</f>
        <v>No</v>
      </c>
    </row>
    <row r="355" spans="1:16" x14ac:dyDescent="0.35">
      <c r="A355" s="2" t="s">
        <v>2482</v>
      </c>
      <c r="B355" s="4">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_xlfn.XLOOKUP(D355,products!$A$1:$A$49,products!$B$1:$B$49,,0)</f>
        <v>Ara</v>
      </c>
      <c r="J355" t="str">
        <f>_xlfn.XLOOKUP(D355,products!$A$1:$A$49,products!$C$1:$C$49,,0)</f>
        <v>M</v>
      </c>
      <c r="K355" s="7">
        <f>_xlfn.XLOOKUP(D355,products!$A$1:$A$49,products!$D$1:$D$49,,0)</f>
        <v>0.5</v>
      </c>
      <c r="L355" s="9">
        <f>_xlfn.XLOOKUP(D355,products!$A$1:$A$49,products!$E$1:$E$49,,0)</f>
        <v>6.75</v>
      </c>
      <c r="M355" s="9">
        <f t="shared" si="5"/>
        <v>27</v>
      </c>
      <c r="N355" s="3" t="str" cm="1">
        <f t="array" ref="N355">_xlfn.SWITCH(I355,
"Rob","Robusta",
"Exc","Excelsa",
"Ara","Arabica",
"Lib","Liberica",
"")</f>
        <v>Arabica</v>
      </c>
      <c r="O355" t="str" cm="1">
        <f t="array" ref="O355">_xlfn.SWITCH(J355,
"M","Medium",
"L","Light",
"D","Dark",
"")</f>
        <v>Medium</v>
      </c>
      <c r="P355" t="str">
        <f>_xlfn.XLOOKUP(Orders[[#This Row],[Customer ID]],customers!$A$1:$A$1001,customers!$I$1:$I$1001,,0)</f>
        <v>Yes</v>
      </c>
    </row>
    <row r="356" spans="1:16" x14ac:dyDescent="0.35">
      <c r="A356" s="2" t="s">
        <v>2487</v>
      </c>
      <c r="B356" s="4">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_xlfn.XLOOKUP(D356,products!$A$1:$A$49,products!$B$1:$B$49,,0)</f>
        <v>Ara</v>
      </c>
      <c r="J356" t="str">
        <f>_xlfn.XLOOKUP(D356,products!$A$1:$A$49,products!$C$1:$C$49,,0)</f>
        <v>M</v>
      </c>
      <c r="K356" s="7">
        <f>_xlfn.XLOOKUP(D356,products!$A$1:$A$49,products!$D$1:$D$49,,0)</f>
        <v>2.5</v>
      </c>
      <c r="L356" s="9">
        <f>_xlfn.XLOOKUP(D356,products!$A$1:$A$49,products!$E$1:$E$49,,0)</f>
        <v>25.874999999999996</v>
      </c>
      <c r="M356" s="9">
        <f t="shared" si="5"/>
        <v>155.24999999999997</v>
      </c>
      <c r="N356" s="3" t="str" cm="1">
        <f t="array" ref="N356">_xlfn.SWITCH(I356,
"Rob","Robusta",
"Exc","Excelsa",
"Ara","Arabica",
"Lib","Liberica",
"")</f>
        <v>Arabica</v>
      </c>
      <c r="O356" t="str" cm="1">
        <f t="array" ref="O356">_xlfn.SWITCH(J356,
"M","Medium",
"L","Light",
"D","Dark",
"")</f>
        <v>Medium</v>
      </c>
      <c r="P356" t="str">
        <f>_xlfn.XLOOKUP(Orders[[#This Row],[Customer ID]],customers!$A$1:$A$1001,customers!$I$1:$I$1001,,0)</f>
        <v>No</v>
      </c>
    </row>
    <row r="357" spans="1:16" x14ac:dyDescent="0.35">
      <c r="A357" s="2" t="s">
        <v>2492</v>
      </c>
      <c r="B357" s="4">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_xlfn.XLOOKUP(D357,products!$A$1:$A$49,products!$B$1:$B$49,,0)</f>
        <v>Ara</v>
      </c>
      <c r="J357" t="str">
        <f>_xlfn.XLOOKUP(D357,products!$A$1:$A$49,products!$C$1:$C$49,,0)</f>
        <v>D</v>
      </c>
      <c r="K357" s="7">
        <f>_xlfn.XLOOKUP(D357,products!$A$1:$A$49,products!$D$1:$D$49,,0)</f>
        <v>2.5</v>
      </c>
      <c r="L357" s="9">
        <f>_xlfn.XLOOKUP(D357,products!$A$1:$A$49,products!$E$1:$E$49,,0)</f>
        <v>22.884999999999998</v>
      </c>
      <c r="M357" s="9">
        <f t="shared" si="5"/>
        <v>114.42499999999998</v>
      </c>
      <c r="N357" s="3" t="str" cm="1">
        <f t="array" ref="N357">_xlfn.SWITCH(I357,
"Rob","Robusta",
"Exc","Excelsa",
"Ara","Arabica",
"Lib","Liberica",
"")</f>
        <v>Arabica</v>
      </c>
      <c r="O357" t="str" cm="1">
        <f t="array" ref="O357">_xlfn.SWITCH(J357,
"M","Medium",
"L","Light",
"D","Dark",
"")</f>
        <v>Dark</v>
      </c>
      <c r="P357" t="str">
        <f>_xlfn.XLOOKUP(Orders[[#This Row],[Customer ID]],customers!$A$1:$A$1001,customers!$I$1:$I$1001,,0)</f>
        <v>Yes</v>
      </c>
    </row>
    <row r="358" spans="1:16" x14ac:dyDescent="0.35">
      <c r="A358" s="2" t="s">
        <v>2498</v>
      </c>
      <c r="B358" s="4">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_xlfn.XLOOKUP(D358,products!$A$1:$A$49,products!$B$1:$B$49,,0)</f>
        <v>Lib</v>
      </c>
      <c r="J358" t="str">
        <f>_xlfn.XLOOKUP(D358,products!$A$1:$A$49,products!$C$1:$C$49,,0)</f>
        <v>D</v>
      </c>
      <c r="K358" s="7">
        <f>_xlfn.XLOOKUP(D358,products!$A$1:$A$49,products!$D$1:$D$49,,0)</f>
        <v>1</v>
      </c>
      <c r="L358" s="9">
        <f>_xlfn.XLOOKUP(D358,products!$A$1:$A$49,products!$E$1:$E$49,,0)</f>
        <v>12.95</v>
      </c>
      <c r="M358" s="9">
        <f t="shared" si="5"/>
        <v>51.8</v>
      </c>
      <c r="N358" s="3" t="str" cm="1">
        <f t="array" ref="N358">_xlfn.SWITCH(I358,
"Rob","Robusta",
"Exc","Excelsa",
"Ara","Arabica",
"Lib","Liberica",
"")</f>
        <v>Liberica</v>
      </c>
      <c r="O358" t="str" cm="1">
        <f t="array" ref="O358">_xlfn.SWITCH(J358,
"M","Medium",
"L","Light",
"D","Dark",
"")</f>
        <v>Dark</v>
      </c>
      <c r="P358" t="str">
        <f>_xlfn.XLOOKUP(Orders[[#This Row],[Customer ID]],customers!$A$1:$A$1001,customers!$I$1:$I$1001,,0)</f>
        <v>Yes</v>
      </c>
    </row>
    <row r="359" spans="1:16" x14ac:dyDescent="0.35">
      <c r="A359" s="2" t="s">
        <v>2504</v>
      </c>
      <c r="B359" s="4">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_xlfn.XLOOKUP(D359,products!$A$1:$A$49,products!$B$1:$B$49,,0)</f>
        <v>Ara</v>
      </c>
      <c r="J359" t="str">
        <f>_xlfn.XLOOKUP(D359,products!$A$1:$A$49,products!$C$1:$C$49,,0)</f>
        <v>M</v>
      </c>
      <c r="K359" s="7">
        <f>_xlfn.XLOOKUP(D359,products!$A$1:$A$49,products!$D$1:$D$49,,0)</f>
        <v>2.5</v>
      </c>
      <c r="L359" s="9">
        <f>_xlfn.XLOOKUP(D359,products!$A$1:$A$49,products!$E$1:$E$49,,0)</f>
        <v>25.874999999999996</v>
      </c>
      <c r="M359" s="9">
        <f t="shared" si="5"/>
        <v>155.24999999999997</v>
      </c>
      <c r="N359" s="3" t="str" cm="1">
        <f t="array" ref="N359">_xlfn.SWITCH(I359,
"Rob","Robusta",
"Exc","Excelsa",
"Ara","Arabica",
"Lib","Liberica",
"")</f>
        <v>Arabica</v>
      </c>
      <c r="O359" t="str" cm="1">
        <f t="array" ref="O359">_xlfn.SWITCH(J359,
"M","Medium",
"L","Light",
"D","Dark",
"")</f>
        <v>Medium</v>
      </c>
      <c r="P359" t="str">
        <f>_xlfn.XLOOKUP(Orders[[#This Row],[Customer ID]],customers!$A$1:$A$1001,customers!$I$1:$I$1001,,0)</f>
        <v>No</v>
      </c>
    </row>
    <row r="360" spans="1:16" x14ac:dyDescent="0.35">
      <c r="A360" s="2" t="s">
        <v>2509</v>
      </c>
      <c r="B360" s="4">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_xlfn.XLOOKUP(D360,products!$A$1:$A$49,products!$B$1:$B$49,,0)</f>
        <v>Ara</v>
      </c>
      <c r="J360" t="str">
        <f>_xlfn.XLOOKUP(D360,products!$A$1:$A$49,products!$C$1:$C$49,,0)</f>
        <v>L</v>
      </c>
      <c r="K360" s="7">
        <f>_xlfn.XLOOKUP(D360,products!$A$1:$A$49,products!$D$1:$D$49,,0)</f>
        <v>2.5</v>
      </c>
      <c r="L360" s="9">
        <f>_xlfn.XLOOKUP(D360,products!$A$1:$A$49,products!$E$1:$E$49,,0)</f>
        <v>29.784999999999997</v>
      </c>
      <c r="M360" s="9">
        <f t="shared" si="5"/>
        <v>29.784999999999997</v>
      </c>
      <c r="N360" s="3" t="str" cm="1">
        <f t="array" ref="N360">_xlfn.SWITCH(I360,
"Rob","Robusta",
"Exc","Excelsa",
"Ara","Arabica",
"Lib","Liberica",
"")</f>
        <v>Arabica</v>
      </c>
      <c r="O360" t="str" cm="1">
        <f t="array" ref="O360">_xlfn.SWITCH(J360,
"M","Medium",
"L","Light",
"D","Dark",
"")</f>
        <v>Light</v>
      </c>
      <c r="P360" t="str">
        <f>_xlfn.XLOOKUP(Orders[[#This Row],[Customer ID]],customers!$A$1:$A$1001,customers!$I$1:$I$1001,,0)</f>
        <v>No</v>
      </c>
    </row>
    <row r="361" spans="1:16" x14ac:dyDescent="0.35">
      <c r="A361" s="2" t="s">
        <v>2515</v>
      </c>
      <c r="B361" s="4">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_xlfn.XLOOKUP(D361,products!$A$1:$A$49,products!$B$1:$B$49,,0)</f>
        <v>Rob</v>
      </c>
      <c r="J361" t="str">
        <f>_xlfn.XLOOKUP(D361,products!$A$1:$A$49,products!$C$1:$C$49,,0)</f>
        <v>L</v>
      </c>
      <c r="K361" s="7">
        <f>_xlfn.XLOOKUP(D361,products!$A$1:$A$49,products!$D$1:$D$49,,0)</f>
        <v>0.2</v>
      </c>
      <c r="L361" s="9">
        <f>_xlfn.XLOOKUP(D361,products!$A$1:$A$49,products!$E$1:$E$49,,0)</f>
        <v>3.5849999999999995</v>
      </c>
      <c r="M361" s="9">
        <f t="shared" si="5"/>
        <v>21.509999999999998</v>
      </c>
      <c r="N361" s="3" t="str" cm="1">
        <f t="array" ref="N361">_xlfn.SWITCH(I361,
"Rob","Robusta",
"Exc","Excelsa",
"Ara","Arabica",
"Lib","Liberica",
"")</f>
        <v>Robusta</v>
      </c>
      <c r="O361" t="str" cm="1">
        <f t="array" ref="O361">_xlfn.SWITCH(J361,
"M","Medium",
"L","Light",
"D","Dark",
"")</f>
        <v>Light</v>
      </c>
      <c r="P361" t="str">
        <f>_xlfn.XLOOKUP(Orders[[#This Row],[Customer ID]],customers!$A$1:$A$1001,customers!$I$1:$I$1001,,0)</f>
        <v>No</v>
      </c>
    </row>
    <row r="362" spans="1:16" x14ac:dyDescent="0.35">
      <c r="A362" s="2" t="s">
        <v>2521</v>
      </c>
      <c r="B362" s="4">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_xlfn.XLOOKUP(D362,products!$A$1:$A$49,products!$B$1:$B$49,,0)</f>
        <v>Rob</v>
      </c>
      <c r="J362" t="str">
        <f>_xlfn.XLOOKUP(D362,products!$A$1:$A$49,products!$C$1:$C$49,,0)</f>
        <v>D</v>
      </c>
      <c r="K362" s="7">
        <f>_xlfn.XLOOKUP(D362,products!$A$1:$A$49,products!$D$1:$D$49,,0)</f>
        <v>2.5</v>
      </c>
      <c r="L362" s="9">
        <f>_xlfn.XLOOKUP(D362,products!$A$1:$A$49,products!$E$1:$E$49,,0)</f>
        <v>20.584999999999997</v>
      </c>
      <c r="M362" s="9">
        <f t="shared" si="5"/>
        <v>41.169999999999995</v>
      </c>
      <c r="N362" s="3" t="str" cm="1">
        <f t="array" ref="N362">_xlfn.SWITCH(I362,
"Rob","Robusta",
"Exc","Excelsa",
"Ara","Arabica",
"Lib","Liberica",
"")</f>
        <v>Robusta</v>
      </c>
      <c r="O362" t="str" cm="1">
        <f t="array" ref="O362">_xlfn.SWITCH(J362,
"M","Medium",
"L","Light",
"D","Dark",
"")</f>
        <v>Dark</v>
      </c>
      <c r="P362" t="str">
        <f>_xlfn.XLOOKUP(Orders[[#This Row],[Customer ID]],customers!$A$1:$A$1001,customers!$I$1:$I$1001,,0)</f>
        <v>No</v>
      </c>
    </row>
    <row r="363" spans="1:16" x14ac:dyDescent="0.35">
      <c r="A363" s="2" t="s">
        <v>2521</v>
      </c>
      <c r="B363" s="4">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_xlfn.XLOOKUP(D363,products!$A$1:$A$49,products!$B$1:$B$49,,0)</f>
        <v>Rob</v>
      </c>
      <c r="J363" t="str">
        <f>_xlfn.XLOOKUP(D363,products!$A$1:$A$49,products!$C$1:$C$49,,0)</f>
        <v>M</v>
      </c>
      <c r="K363" s="7">
        <f>_xlfn.XLOOKUP(D363,products!$A$1:$A$49,products!$D$1:$D$49,,0)</f>
        <v>0.5</v>
      </c>
      <c r="L363" s="9">
        <f>_xlfn.XLOOKUP(D363,products!$A$1:$A$49,products!$E$1:$E$49,,0)</f>
        <v>5.97</v>
      </c>
      <c r="M363" s="9">
        <f t="shared" si="5"/>
        <v>5.97</v>
      </c>
      <c r="N363" s="3" t="str" cm="1">
        <f t="array" ref="N363">_xlfn.SWITCH(I363,
"Rob","Robusta",
"Exc","Excelsa",
"Ara","Arabica",
"Lib","Liberica",
"")</f>
        <v>Robusta</v>
      </c>
      <c r="O363" t="str" cm="1">
        <f t="array" ref="O363">_xlfn.SWITCH(J363,
"M","Medium",
"L","Light",
"D","Dark",
"")</f>
        <v>Medium</v>
      </c>
      <c r="P363" t="str">
        <f>_xlfn.XLOOKUP(Orders[[#This Row],[Customer ID]],customers!$A$1:$A$1001,customers!$I$1:$I$1001,,0)</f>
        <v>No</v>
      </c>
    </row>
    <row r="364" spans="1:16" x14ac:dyDescent="0.35">
      <c r="A364" s="2" t="s">
        <v>2532</v>
      </c>
      <c r="B364" s="4">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_xlfn.XLOOKUP(D364,products!$A$1:$A$49,products!$B$1:$B$49,,0)</f>
        <v>Exc</v>
      </c>
      <c r="J364" t="str">
        <f>_xlfn.XLOOKUP(D364,products!$A$1:$A$49,products!$C$1:$C$49,,0)</f>
        <v>L</v>
      </c>
      <c r="K364" s="7">
        <f>_xlfn.XLOOKUP(D364,products!$A$1:$A$49,products!$D$1:$D$49,,0)</f>
        <v>1</v>
      </c>
      <c r="L364" s="9">
        <f>_xlfn.XLOOKUP(D364,products!$A$1:$A$49,products!$E$1:$E$49,,0)</f>
        <v>14.85</v>
      </c>
      <c r="M364" s="9">
        <f t="shared" si="5"/>
        <v>74.25</v>
      </c>
      <c r="N364" s="3" t="str" cm="1">
        <f t="array" ref="N364">_xlfn.SWITCH(I364,
"Rob","Robusta",
"Exc","Excelsa",
"Ara","Arabica",
"Lib","Liberica",
"")</f>
        <v>Excelsa</v>
      </c>
      <c r="O364" t="str" cm="1">
        <f t="array" ref="O364">_xlfn.SWITCH(J364,
"M","Medium",
"L","Light",
"D","Dark",
"")</f>
        <v>Light</v>
      </c>
      <c r="P364" t="str">
        <f>_xlfn.XLOOKUP(Orders[[#This Row],[Customer ID]],customers!$A$1:$A$1001,customers!$I$1:$I$1001,,0)</f>
        <v>Yes</v>
      </c>
    </row>
    <row r="365" spans="1:16" x14ac:dyDescent="0.35">
      <c r="A365" s="2" t="s">
        <v>2538</v>
      </c>
      <c r="B365" s="4">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_xlfn.XLOOKUP(D365,products!$A$1:$A$49,products!$B$1:$B$49,,0)</f>
        <v>Lib</v>
      </c>
      <c r="J365" t="str">
        <f>_xlfn.XLOOKUP(D365,products!$A$1:$A$49,products!$C$1:$C$49,,0)</f>
        <v>M</v>
      </c>
      <c r="K365" s="7">
        <f>_xlfn.XLOOKUP(D365,products!$A$1:$A$49,products!$D$1:$D$49,,0)</f>
        <v>1</v>
      </c>
      <c r="L365" s="9">
        <f>_xlfn.XLOOKUP(D365,products!$A$1:$A$49,products!$E$1:$E$49,,0)</f>
        <v>14.55</v>
      </c>
      <c r="M365" s="9">
        <f t="shared" si="5"/>
        <v>87.300000000000011</v>
      </c>
      <c r="N365" s="3" t="str" cm="1">
        <f t="array" ref="N365">_xlfn.SWITCH(I365,
"Rob","Robusta",
"Exc","Excelsa",
"Ara","Arabica",
"Lib","Liberica",
"")</f>
        <v>Liberica</v>
      </c>
      <c r="O365" t="str" cm="1">
        <f t="array" ref="O365">_xlfn.SWITCH(J365,
"M","Medium",
"L","Light",
"D","Dark",
"")</f>
        <v>Medium</v>
      </c>
      <c r="P365" t="str">
        <f>_xlfn.XLOOKUP(Orders[[#This Row],[Customer ID]],customers!$A$1:$A$1001,customers!$I$1:$I$1001,,0)</f>
        <v>No</v>
      </c>
    </row>
    <row r="366" spans="1:16" x14ac:dyDescent="0.35">
      <c r="A366" s="2" t="s">
        <v>2543</v>
      </c>
      <c r="B366" s="4">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_xlfn.XLOOKUP(D366,products!$A$1:$A$49,products!$B$1:$B$49,,0)</f>
        <v>Exc</v>
      </c>
      <c r="J366" t="str">
        <f>_xlfn.XLOOKUP(D366,products!$A$1:$A$49,products!$C$1:$C$49,,0)</f>
        <v>D</v>
      </c>
      <c r="K366" s="7">
        <f>_xlfn.XLOOKUP(D366,products!$A$1:$A$49,products!$D$1:$D$49,,0)</f>
        <v>1</v>
      </c>
      <c r="L366" s="9">
        <f>_xlfn.XLOOKUP(D366,products!$A$1:$A$49,products!$E$1:$E$49,,0)</f>
        <v>12.15</v>
      </c>
      <c r="M366" s="9">
        <f t="shared" si="5"/>
        <v>72.900000000000006</v>
      </c>
      <c r="N366" s="3" t="str" cm="1">
        <f t="array" ref="N366">_xlfn.SWITCH(I366,
"Rob","Robusta",
"Exc","Excelsa",
"Ara","Arabica",
"Lib","Liberica",
"")</f>
        <v>Excelsa</v>
      </c>
      <c r="O366" t="str" cm="1">
        <f t="array" ref="O366">_xlfn.SWITCH(J366,
"M","Medium",
"L","Light",
"D","Dark",
"")</f>
        <v>Dark</v>
      </c>
      <c r="P366" t="str">
        <f>_xlfn.XLOOKUP(Orders[[#This Row],[Customer ID]],customers!$A$1:$A$1001,customers!$I$1:$I$1001,,0)</f>
        <v>Yes</v>
      </c>
    </row>
    <row r="367" spans="1:16" x14ac:dyDescent="0.35">
      <c r="A367" s="2" t="s">
        <v>2549</v>
      </c>
      <c r="B367" s="4">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_xlfn.XLOOKUP(D367,products!$A$1:$A$49,products!$B$1:$B$49,,0)</f>
        <v>Lib</v>
      </c>
      <c r="J367" t="str">
        <f>_xlfn.XLOOKUP(D367,products!$A$1:$A$49,products!$C$1:$C$49,,0)</f>
        <v>D</v>
      </c>
      <c r="K367" s="7">
        <f>_xlfn.XLOOKUP(D367,products!$A$1:$A$49,products!$D$1:$D$49,,0)</f>
        <v>0.5</v>
      </c>
      <c r="L367" s="9">
        <f>_xlfn.XLOOKUP(D367,products!$A$1:$A$49,products!$E$1:$E$49,,0)</f>
        <v>7.77</v>
      </c>
      <c r="M367" s="9">
        <f t="shared" si="5"/>
        <v>7.77</v>
      </c>
      <c r="N367" s="3" t="str" cm="1">
        <f t="array" ref="N367">_xlfn.SWITCH(I367,
"Rob","Robusta",
"Exc","Excelsa",
"Ara","Arabica",
"Lib","Liberica",
"")</f>
        <v>Liberica</v>
      </c>
      <c r="O367" t="str" cm="1">
        <f t="array" ref="O367">_xlfn.SWITCH(J367,
"M","Medium",
"L","Light",
"D","Dark",
"")</f>
        <v>Dark</v>
      </c>
      <c r="P367" t="str">
        <f>_xlfn.XLOOKUP(Orders[[#This Row],[Customer ID]],customers!$A$1:$A$1001,customers!$I$1:$I$1001,,0)</f>
        <v>No</v>
      </c>
    </row>
    <row r="368" spans="1:16" x14ac:dyDescent="0.35">
      <c r="A368" s="2" t="s">
        <v>2554</v>
      </c>
      <c r="B368" s="4">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_xlfn.XLOOKUP(D368,products!$A$1:$A$49,products!$B$1:$B$49,,0)</f>
        <v>Exc</v>
      </c>
      <c r="J368" t="str">
        <f>_xlfn.XLOOKUP(D368,products!$A$1:$A$49,products!$C$1:$C$49,,0)</f>
        <v>D</v>
      </c>
      <c r="K368" s="7">
        <f>_xlfn.XLOOKUP(D368,products!$A$1:$A$49,products!$D$1:$D$49,,0)</f>
        <v>0.5</v>
      </c>
      <c r="L368" s="9">
        <f>_xlfn.XLOOKUP(D368,products!$A$1:$A$49,products!$E$1:$E$49,,0)</f>
        <v>7.29</v>
      </c>
      <c r="M368" s="9">
        <f t="shared" si="5"/>
        <v>43.74</v>
      </c>
      <c r="N368" s="3" t="str" cm="1">
        <f t="array" ref="N368">_xlfn.SWITCH(I368,
"Rob","Robusta",
"Exc","Excelsa",
"Ara","Arabica",
"Lib","Liberica",
"")</f>
        <v>Excelsa</v>
      </c>
      <c r="O368" t="str" cm="1">
        <f t="array" ref="O368">_xlfn.SWITCH(J368,
"M","Medium",
"L","Light",
"D","Dark",
"")</f>
        <v>Dark</v>
      </c>
      <c r="P368" t="str">
        <f>_xlfn.XLOOKUP(Orders[[#This Row],[Customer ID]],customers!$A$1:$A$1001,customers!$I$1:$I$1001,,0)</f>
        <v>No</v>
      </c>
    </row>
    <row r="369" spans="1:16" x14ac:dyDescent="0.35">
      <c r="A369" s="2" t="s">
        <v>2559</v>
      </c>
      <c r="B369" s="4">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_xlfn.XLOOKUP(D369,products!$A$1:$A$49,products!$B$1:$B$49,,0)</f>
        <v>Lib</v>
      </c>
      <c r="J369" t="str">
        <f>_xlfn.XLOOKUP(D369,products!$A$1:$A$49,products!$C$1:$C$49,,0)</f>
        <v>M</v>
      </c>
      <c r="K369" s="7">
        <f>_xlfn.XLOOKUP(D369,products!$A$1:$A$49,products!$D$1:$D$49,,0)</f>
        <v>0.2</v>
      </c>
      <c r="L369" s="9">
        <f>_xlfn.XLOOKUP(D369,products!$A$1:$A$49,products!$E$1:$E$49,,0)</f>
        <v>4.3650000000000002</v>
      </c>
      <c r="M369" s="9">
        <f t="shared" si="5"/>
        <v>8.73</v>
      </c>
      <c r="N369" s="3" t="str" cm="1">
        <f t="array" ref="N369">_xlfn.SWITCH(I369,
"Rob","Robusta",
"Exc","Excelsa",
"Ara","Arabica",
"Lib","Liberica",
"")</f>
        <v>Liberica</v>
      </c>
      <c r="O369" t="str" cm="1">
        <f t="array" ref="O369">_xlfn.SWITCH(J369,
"M","Medium",
"L","Light",
"D","Dark",
"")</f>
        <v>Medium</v>
      </c>
      <c r="P369" t="str">
        <f>_xlfn.XLOOKUP(Orders[[#This Row],[Customer ID]],customers!$A$1:$A$1001,customers!$I$1:$I$1001,,0)</f>
        <v>Yes</v>
      </c>
    </row>
    <row r="370" spans="1:16" x14ac:dyDescent="0.35">
      <c r="A370" s="2" t="s">
        <v>2563</v>
      </c>
      <c r="B370" s="4">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_xlfn.XLOOKUP(D370,products!$A$1:$A$49,products!$B$1:$B$49,,0)</f>
        <v>Exc</v>
      </c>
      <c r="J370" t="str">
        <f>_xlfn.XLOOKUP(D370,products!$A$1:$A$49,products!$C$1:$C$49,,0)</f>
        <v>M</v>
      </c>
      <c r="K370" s="7">
        <f>_xlfn.XLOOKUP(D370,products!$A$1:$A$49,products!$D$1:$D$49,,0)</f>
        <v>2.5</v>
      </c>
      <c r="L370" s="9">
        <f>_xlfn.XLOOKUP(D370,products!$A$1:$A$49,products!$E$1:$E$49,,0)</f>
        <v>31.624999999999996</v>
      </c>
      <c r="M370" s="9">
        <f t="shared" si="5"/>
        <v>63.249999999999993</v>
      </c>
      <c r="N370" s="3" t="str" cm="1">
        <f t="array" ref="N370">_xlfn.SWITCH(I370,
"Rob","Robusta",
"Exc","Excelsa",
"Ara","Arabica",
"Lib","Liberica",
"")</f>
        <v>Excelsa</v>
      </c>
      <c r="O370" t="str" cm="1">
        <f t="array" ref="O370">_xlfn.SWITCH(J370,
"M","Medium",
"L","Light",
"D","Dark",
"")</f>
        <v>Medium</v>
      </c>
      <c r="P370" t="str">
        <f>_xlfn.XLOOKUP(Orders[[#This Row],[Customer ID]],customers!$A$1:$A$1001,customers!$I$1:$I$1001,,0)</f>
        <v>No</v>
      </c>
    </row>
    <row r="371" spans="1:16" x14ac:dyDescent="0.35">
      <c r="A371" s="2" t="s">
        <v>2569</v>
      </c>
      <c r="B371" s="4">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_xlfn.XLOOKUP(D371,products!$A$1:$A$49,products!$B$1:$B$49,,0)</f>
        <v>Exc</v>
      </c>
      <c r="J371" t="str">
        <f>_xlfn.XLOOKUP(D371,products!$A$1:$A$49,products!$C$1:$C$49,,0)</f>
        <v>L</v>
      </c>
      <c r="K371" s="7">
        <f>_xlfn.XLOOKUP(D371,products!$A$1:$A$49,products!$D$1:$D$49,,0)</f>
        <v>0.5</v>
      </c>
      <c r="L371" s="9">
        <f>_xlfn.XLOOKUP(D371,products!$A$1:$A$49,products!$E$1:$E$49,,0)</f>
        <v>8.91</v>
      </c>
      <c r="M371" s="9">
        <f t="shared" si="5"/>
        <v>8.91</v>
      </c>
      <c r="N371" s="3" t="str" cm="1">
        <f t="array" ref="N371">_xlfn.SWITCH(I371,
"Rob","Robusta",
"Exc","Excelsa",
"Ara","Arabica",
"Lib","Liberica",
"")</f>
        <v>Excelsa</v>
      </c>
      <c r="O371" t="str" cm="1">
        <f t="array" ref="O371">_xlfn.SWITCH(J371,
"M","Medium",
"L","Light",
"D","Dark",
"")</f>
        <v>Light</v>
      </c>
      <c r="P371" t="str">
        <f>_xlfn.XLOOKUP(Orders[[#This Row],[Customer ID]],customers!$A$1:$A$1001,customers!$I$1:$I$1001,,0)</f>
        <v>Yes</v>
      </c>
    </row>
    <row r="372" spans="1:16" x14ac:dyDescent="0.35">
      <c r="A372" s="2" t="s">
        <v>2573</v>
      </c>
      <c r="B372" s="4">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_xlfn.XLOOKUP(D372,products!$A$1:$A$49,products!$B$1:$B$49,,0)</f>
        <v>Exc</v>
      </c>
      <c r="J372" t="str">
        <f>_xlfn.XLOOKUP(D372,products!$A$1:$A$49,products!$C$1:$C$49,,0)</f>
        <v>D</v>
      </c>
      <c r="K372" s="7">
        <f>_xlfn.XLOOKUP(D372,products!$A$1:$A$49,products!$D$1:$D$49,,0)</f>
        <v>1</v>
      </c>
      <c r="L372" s="9">
        <f>_xlfn.XLOOKUP(D372,products!$A$1:$A$49,products!$E$1:$E$49,,0)</f>
        <v>12.15</v>
      </c>
      <c r="M372" s="9">
        <f t="shared" si="5"/>
        <v>24.3</v>
      </c>
      <c r="N372" s="3" t="str" cm="1">
        <f t="array" ref="N372">_xlfn.SWITCH(I372,
"Rob","Robusta",
"Exc","Excelsa",
"Ara","Arabica",
"Lib","Liberica",
"")</f>
        <v>Excelsa</v>
      </c>
      <c r="O372" t="str" cm="1">
        <f t="array" ref="O372">_xlfn.SWITCH(J372,
"M","Medium",
"L","Light",
"D","Dark",
"")</f>
        <v>Dark</v>
      </c>
      <c r="P372" t="str">
        <f>_xlfn.XLOOKUP(Orders[[#This Row],[Customer ID]],customers!$A$1:$A$1001,customers!$I$1:$I$1001,,0)</f>
        <v>Yes</v>
      </c>
    </row>
    <row r="373" spans="1:16" x14ac:dyDescent="0.35">
      <c r="A373" s="2" t="s">
        <v>2579</v>
      </c>
      <c r="B373" s="4">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_xlfn.XLOOKUP(D373,products!$A$1:$A$49,products!$B$1:$B$49,,0)</f>
        <v>Ara</v>
      </c>
      <c r="J373" t="str">
        <f>_xlfn.XLOOKUP(D373,products!$A$1:$A$49,products!$C$1:$C$49,,0)</f>
        <v>L</v>
      </c>
      <c r="K373" s="7">
        <f>_xlfn.XLOOKUP(D373,products!$A$1:$A$49,products!$D$1:$D$49,,0)</f>
        <v>0.5</v>
      </c>
      <c r="L373" s="9">
        <f>_xlfn.XLOOKUP(D373,products!$A$1:$A$49,products!$E$1:$E$49,,0)</f>
        <v>7.77</v>
      </c>
      <c r="M373" s="9">
        <f t="shared" si="5"/>
        <v>46.62</v>
      </c>
      <c r="N373" s="3" t="str" cm="1">
        <f t="array" ref="N373">_xlfn.SWITCH(I373,
"Rob","Robusta",
"Exc","Excelsa",
"Ara","Arabica",
"Lib","Liberica",
"")</f>
        <v>Arabica</v>
      </c>
      <c r="O373" t="str" cm="1">
        <f t="array" ref="O373">_xlfn.SWITCH(J373,
"M","Medium",
"L","Light",
"D","Dark",
"")</f>
        <v>Light</v>
      </c>
      <c r="P373" t="str">
        <f>_xlfn.XLOOKUP(Orders[[#This Row],[Customer ID]],customers!$A$1:$A$1001,customers!$I$1:$I$1001,,0)</f>
        <v>Yes</v>
      </c>
    </row>
    <row r="374" spans="1:16" x14ac:dyDescent="0.35">
      <c r="A374" s="2" t="s">
        <v>2585</v>
      </c>
      <c r="B374" s="4">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_xlfn.XLOOKUP(D374,products!$A$1:$A$49,products!$B$1:$B$49,,0)</f>
        <v>Rob</v>
      </c>
      <c r="J374" t="str">
        <f>_xlfn.XLOOKUP(D374,products!$A$1:$A$49,products!$C$1:$C$49,,0)</f>
        <v>L</v>
      </c>
      <c r="K374" s="7">
        <f>_xlfn.XLOOKUP(D374,products!$A$1:$A$49,products!$D$1:$D$49,,0)</f>
        <v>0.5</v>
      </c>
      <c r="L374" s="9">
        <f>_xlfn.XLOOKUP(D374,products!$A$1:$A$49,products!$E$1:$E$49,,0)</f>
        <v>7.169999999999999</v>
      </c>
      <c r="M374" s="9">
        <f t="shared" si="5"/>
        <v>43.019999999999996</v>
      </c>
      <c r="N374" s="3" t="str" cm="1">
        <f t="array" ref="N374">_xlfn.SWITCH(I374,
"Rob","Robusta",
"Exc","Excelsa",
"Ara","Arabica",
"Lib","Liberica",
"")</f>
        <v>Robusta</v>
      </c>
      <c r="O374" t="str" cm="1">
        <f t="array" ref="O374">_xlfn.SWITCH(J374,
"M","Medium",
"L","Light",
"D","Dark",
"")</f>
        <v>Light</v>
      </c>
      <c r="P374" t="str">
        <f>_xlfn.XLOOKUP(Orders[[#This Row],[Customer ID]],customers!$A$1:$A$1001,customers!$I$1:$I$1001,,0)</f>
        <v>No</v>
      </c>
    </row>
    <row r="375" spans="1:16" x14ac:dyDescent="0.35">
      <c r="A375" s="2" t="s">
        <v>2591</v>
      </c>
      <c r="B375" s="4">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_xlfn.XLOOKUP(D375,products!$A$1:$A$49,products!$B$1:$B$49,,0)</f>
        <v>Ara</v>
      </c>
      <c r="J375" t="str">
        <f>_xlfn.XLOOKUP(D375,products!$A$1:$A$49,products!$C$1:$C$49,,0)</f>
        <v>D</v>
      </c>
      <c r="K375" s="7">
        <f>_xlfn.XLOOKUP(D375,products!$A$1:$A$49,products!$D$1:$D$49,,0)</f>
        <v>0.5</v>
      </c>
      <c r="L375" s="9">
        <f>_xlfn.XLOOKUP(D375,products!$A$1:$A$49,products!$E$1:$E$49,,0)</f>
        <v>5.97</v>
      </c>
      <c r="M375" s="9">
        <f t="shared" si="5"/>
        <v>17.91</v>
      </c>
      <c r="N375" s="3" t="str" cm="1">
        <f t="array" ref="N375">_xlfn.SWITCH(I375,
"Rob","Robusta",
"Exc","Excelsa",
"Ara","Arabica",
"Lib","Liberica",
"")</f>
        <v>Arabica</v>
      </c>
      <c r="O375" t="str" cm="1">
        <f t="array" ref="O375">_xlfn.SWITCH(J375,
"M","Medium",
"L","Light",
"D","Dark",
"")</f>
        <v>Dark</v>
      </c>
      <c r="P375" t="str">
        <f>_xlfn.XLOOKUP(Orders[[#This Row],[Customer ID]],customers!$A$1:$A$1001,customers!$I$1:$I$1001,,0)</f>
        <v>Yes</v>
      </c>
    </row>
    <row r="376" spans="1:16" x14ac:dyDescent="0.35">
      <c r="A376" s="2" t="s">
        <v>2597</v>
      </c>
      <c r="B376" s="4">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_xlfn.XLOOKUP(D376,products!$A$1:$A$49,products!$B$1:$B$49,,0)</f>
        <v>Lib</v>
      </c>
      <c r="J376" t="str">
        <f>_xlfn.XLOOKUP(D376,products!$A$1:$A$49,products!$C$1:$C$49,,0)</f>
        <v>L</v>
      </c>
      <c r="K376" s="7">
        <f>_xlfn.XLOOKUP(D376,products!$A$1:$A$49,products!$D$1:$D$49,,0)</f>
        <v>0.5</v>
      </c>
      <c r="L376" s="9">
        <f>_xlfn.XLOOKUP(D376,products!$A$1:$A$49,products!$E$1:$E$49,,0)</f>
        <v>9.51</v>
      </c>
      <c r="M376" s="9">
        <f t="shared" si="5"/>
        <v>38.04</v>
      </c>
      <c r="N376" s="3" t="str" cm="1">
        <f t="array" ref="N376">_xlfn.SWITCH(I376,
"Rob","Robusta",
"Exc","Excelsa",
"Ara","Arabica",
"Lib","Liberica",
"")</f>
        <v>Liberica</v>
      </c>
      <c r="O376" t="str" cm="1">
        <f t="array" ref="O376">_xlfn.SWITCH(J376,
"M","Medium",
"L","Light",
"D","Dark",
"")</f>
        <v>Light</v>
      </c>
      <c r="P376" t="str">
        <f>_xlfn.XLOOKUP(Orders[[#This Row],[Customer ID]],customers!$A$1:$A$1001,customers!$I$1:$I$1001,,0)</f>
        <v>Yes</v>
      </c>
    </row>
    <row r="377" spans="1:16" x14ac:dyDescent="0.35">
      <c r="A377" s="2" t="s">
        <v>2603</v>
      </c>
      <c r="B377" s="4">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_xlfn.XLOOKUP(D377,products!$A$1:$A$49,products!$B$1:$B$49,,0)</f>
        <v>Ara</v>
      </c>
      <c r="J377" t="str">
        <f>_xlfn.XLOOKUP(D377,products!$A$1:$A$49,products!$C$1:$C$49,,0)</f>
        <v>M</v>
      </c>
      <c r="K377" s="7">
        <f>_xlfn.XLOOKUP(D377,products!$A$1:$A$49,products!$D$1:$D$49,,0)</f>
        <v>0.2</v>
      </c>
      <c r="L377" s="9">
        <f>_xlfn.XLOOKUP(D377,products!$A$1:$A$49,products!$E$1:$E$49,,0)</f>
        <v>3.375</v>
      </c>
      <c r="M377" s="9">
        <f t="shared" si="5"/>
        <v>6.75</v>
      </c>
      <c r="N377" s="3" t="str" cm="1">
        <f t="array" ref="N377">_xlfn.SWITCH(I377,
"Rob","Robusta",
"Exc","Excelsa",
"Ara","Arabica",
"Lib","Liberica",
"")</f>
        <v>Arabica</v>
      </c>
      <c r="O377" t="str" cm="1">
        <f t="array" ref="O377">_xlfn.SWITCH(J377,
"M","Medium",
"L","Light",
"D","Dark",
"")</f>
        <v>Medium</v>
      </c>
      <c r="P377" t="str">
        <f>_xlfn.XLOOKUP(Orders[[#This Row],[Customer ID]],customers!$A$1:$A$1001,customers!$I$1:$I$1001,,0)</f>
        <v>Yes</v>
      </c>
    </row>
    <row r="378" spans="1:16" x14ac:dyDescent="0.35">
      <c r="A378" s="2" t="s">
        <v>2609</v>
      </c>
      <c r="B378" s="4">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_xlfn.XLOOKUP(D378,products!$A$1:$A$49,products!$B$1:$B$49,,0)</f>
        <v>Rob</v>
      </c>
      <c r="J378" t="str">
        <f>_xlfn.XLOOKUP(D378,products!$A$1:$A$49,products!$C$1:$C$49,,0)</f>
        <v>M</v>
      </c>
      <c r="K378" s="7">
        <f>_xlfn.XLOOKUP(D378,products!$A$1:$A$49,products!$D$1:$D$49,,0)</f>
        <v>0.5</v>
      </c>
      <c r="L378" s="9">
        <f>_xlfn.XLOOKUP(D378,products!$A$1:$A$49,products!$E$1:$E$49,,0)</f>
        <v>5.97</v>
      </c>
      <c r="M378" s="9">
        <f t="shared" si="5"/>
        <v>5.97</v>
      </c>
      <c r="N378" s="3" t="str" cm="1">
        <f t="array" ref="N378">_xlfn.SWITCH(I378,
"Rob","Robusta",
"Exc","Excelsa",
"Ara","Arabica",
"Lib","Liberica",
"")</f>
        <v>Robusta</v>
      </c>
      <c r="O378" t="str" cm="1">
        <f t="array" ref="O378">_xlfn.SWITCH(J378,
"M","Medium",
"L","Light",
"D","Dark",
"")</f>
        <v>Medium</v>
      </c>
      <c r="P378" t="str">
        <f>_xlfn.XLOOKUP(Orders[[#This Row],[Customer ID]],customers!$A$1:$A$1001,customers!$I$1:$I$1001,,0)</f>
        <v>Yes</v>
      </c>
    </row>
    <row r="379" spans="1:16" x14ac:dyDescent="0.35">
      <c r="A379" s="2" t="s">
        <v>2615</v>
      </c>
      <c r="B379" s="4">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_xlfn.XLOOKUP(D379,products!$A$1:$A$49,products!$B$1:$B$49,,0)</f>
        <v>Rob</v>
      </c>
      <c r="J379" t="str">
        <f>_xlfn.XLOOKUP(D379,products!$A$1:$A$49,products!$C$1:$C$49,,0)</f>
        <v>D</v>
      </c>
      <c r="K379" s="7">
        <f>_xlfn.XLOOKUP(D379,products!$A$1:$A$49,products!$D$1:$D$49,,0)</f>
        <v>0.2</v>
      </c>
      <c r="L379" s="9">
        <f>_xlfn.XLOOKUP(D379,products!$A$1:$A$49,products!$E$1:$E$49,,0)</f>
        <v>2.6849999999999996</v>
      </c>
      <c r="M379" s="9">
        <f t="shared" si="5"/>
        <v>8.0549999999999997</v>
      </c>
      <c r="N379" s="3" t="str" cm="1">
        <f t="array" ref="N379">_xlfn.SWITCH(I379,
"Rob","Robusta",
"Exc","Excelsa",
"Ara","Arabica",
"Lib","Liberica",
"")</f>
        <v>Robusta</v>
      </c>
      <c r="O379" t="str" cm="1">
        <f t="array" ref="O379">_xlfn.SWITCH(J379,
"M","Medium",
"L","Light",
"D","Dark",
"")</f>
        <v>Dark</v>
      </c>
      <c r="P379" t="str">
        <f>_xlfn.XLOOKUP(Orders[[#This Row],[Customer ID]],customers!$A$1:$A$1001,customers!$I$1:$I$1001,,0)</f>
        <v>No</v>
      </c>
    </row>
    <row r="380" spans="1:16" x14ac:dyDescent="0.35">
      <c r="A380" s="2" t="s">
        <v>2621</v>
      </c>
      <c r="B380" s="4">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_xlfn.XLOOKUP(D380,products!$A$1:$A$49,products!$B$1:$B$49,,0)</f>
        <v>Ara</v>
      </c>
      <c r="J380" t="str">
        <f>_xlfn.XLOOKUP(D380,products!$A$1:$A$49,products!$C$1:$C$49,,0)</f>
        <v>L</v>
      </c>
      <c r="K380" s="7">
        <f>_xlfn.XLOOKUP(D380,products!$A$1:$A$49,products!$D$1:$D$49,,0)</f>
        <v>0.5</v>
      </c>
      <c r="L380" s="9">
        <f>_xlfn.XLOOKUP(D380,products!$A$1:$A$49,products!$E$1:$E$49,,0)</f>
        <v>7.77</v>
      </c>
      <c r="M380" s="9">
        <f t="shared" si="5"/>
        <v>23.31</v>
      </c>
      <c r="N380" s="3" t="str" cm="1">
        <f t="array" ref="N380">_xlfn.SWITCH(I380,
"Rob","Robusta",
"Exc","Excelsa",
"Ara","Arabica",
"Lib","Liberica",
"")</f>
        <v>Arabica</v>
      </c>
      <c r="O380" t="str" cm="1">
        <f t="array" ref="O380">_xlfn.SWITCH(J380,
"M","Medium",
"L","Light",
"D","Dark",
"")</f>
        <v>Light</v>
      </c>
      <c r="P380" t="str">
        <f>_xlfn.XLOOKUP(Orders[[#This Row],[Customer ID]],customers!$A$1:$A$1001,customers!$I$1:$I$1001,,0)</f>
        <v>Yes</v>
      </c>
    </row>
    <row r="381" spans="1:16" x14ac:dyDescent="0.35">
      <c r="A381" s="2" t="s">
        <v>2627</v>
      </c>
      <c r="B381" s="4">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_xlfn.XLOOKUP(D381,products!$A$1:$A$49,products!$B$1:$B$49,,0)</f>
        <v>Rob</v>
      </c>
      <c r="J381" t="str">
        <f>_xlfn.XLOOKUP(D381,products!$A$1:$A$49,products!$C$1:$C$49,,0)</f>
        <v>L</v>
      </c>
      <c r="K381" s="7">
        <f>_xlfn.XLOOKUP(D381,products!$A$1:$A$49,products!$D$1:$D$49,,0)</f>
        <v>0.5</v>
      </c>
      <c r="L381" s="9">
        <f>_xlfn.XLOOKUP(D381,products!$A$1:$A$49,products!$E$1:$E$49,,0)</f>
        <v>7.169999999999999</v>
      </c>
      <c r="M381" s="9">
        <f t="shared" si="5"/>
        <v>43.019999999999996</v>
      </c>
      <c r="N381" s="3" t="str" cm="1">
        <f t="array" ref="N381">_xlfn.SWITCH(I381,
"Rob","Robusta",
"Exc","Excelsa",
"Ara","Arabica",
"Lib","Liberica",
"")</f>
        <v>Robusta</v>
      </c>
      <c r="O381" t="str" cm="1">
        <f t="array" ref="O381">_xlfn.SWITCH(J381,
"M","Medium",
"L","Light",
"D","Dark",
"")</f>
        <v>Light</v>
      </c>
      <c r="P381" t="str">
        <f>_xlfn.XLOOKUP(Orders[[#This Row],[Customer ID]],customers!$A$1:$A$1001,customers!$I$1:$I$1001,,0)</f>
        <v>Yes</v>
      </c>
    </row>
    <row r="382" spans="1:16" x14ac:dyDescent="0.35">
      <c r="A382" s="2" t="s">
        <v>2632</v>
      </c>
      <c r="B382" s="4">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_xlfn.XLOOKUP(D382,products!$A$1:$A$49,products!$B$1:$B$49,,0)</f>
        <v>Lib</v>
      </c>
      <c r="J382" t="str">
        <f>_xlfn.XLOOKUP(D382,products!$A$1:$A$49,products!$C$1:$C$49,,0)</f>
        <v>D</v>
      </c>
      <c r="K382" s="7">
        <f>_xlfn.XLOOKUP(D382,products!$A$1:$A$49,products!$D$1:$D$49,,0)</f>
        <v>0.5</v>
      </c>
      <c r="L382" s="9">
        <f>_xlfn.XLOOKUP(D382,products!$A$1:$A$49,products!$E$1:$E$49,,0)</f>
        <v>7.77</v>
      </c>
      <c r="M382" s="9">
        <f t="shared" si="5"/>
        <v>23.31</v>
      </c>
      <c r="N382" s="3" t="str" cm="1">
        <f t="array" ref="N382">_xlfn.SWITCH(I382,
"Rob","Robusta",
"Exc","Excelsa",
"Ara","Arabica",
"Lib","Liberica",
"")</f>
        <v>Liberica</v>
      </c>
      <c r="O382" t="str" cm="1">
        <f t="array" ref="O382">_xlfn.SWITCH(J382,
"M","Medium",
"L","Light",
"D","Dark",
"")</f>
        <v>Dark</v>
      </c>
      <c r="P382" t="str">
        <f>_xlfn.XLOOKUP(Orders[[#This Row],[Customer ID]],customers!$A$1:$A$1001,customers!$I$1:$I$1001,,0)</f>
        <v>No</v>
      </c>
    </row>
    <row r="383" spans="1:16" x14ac:dyDescent="0.35">
      <c r="A383" s="2" t="s">
        <v>2638</v>
      </c>
      <c r="B383" s="4">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_xlfn.XLOOKUP(D383,products!$A$1:$A$49,products!$B$1:$B$49,,0)</f>
        <v>Ara</v>
      </c>
      <c r="J383" t="str">
        <f>_xlfn.XLOOKUP(D383,products!$A$1:$A$49,products!$C$1:$C$49,,0)</f>
        <v>D</v>
      </c>
      <c r="K383" s="7">
        <f>_xlfn.XLOOKUP(D383,products!$A$1:$A$49,products!$D$1:$D$49,,0)</f>
        <v>0.2</v>
      </c>
      <c r="L383" s="9">
        <f>_xlfn.XLOOKUP(D383,products!$A$1:$A$49,products!$E$1:$E$49,,0)</f>
        <v>2.9849999999999999</v>
      </c>
      <c r="M383" s="9">
        <f t="shared" si="5"/>
        <v>14.924999999999999</v>
      </c>
      <c r="N383" s="3" t="str" cm="1">
        <f t="array" ref="N383">_xlfn.SWITCH(I383,
"Rob","Robusta",
"Exc","Excelsa",
"Ara","Arabica",
"Lib","Liberica",
"")</f>
        <v>Arabica</v>
      </c>
      <c r="O383" t="str" cm="1">
        <f t="array" ref="O383">_xlfn.SWITCH(J383,
"M","Medium",
"L","Light",
"D","Dark",
"")</f>
        <v>Dark</v>
      </c>
      <c r="P383" t="str">
        <f>_xlfn.XLOOKUP(Orders[[#This Row],[Customer ID]],customers!$A$1:$A$1001,customers!$I$1:$I$1001,,0)</f>
        <v>Yes</v>
      </c>
    </row>
    <row r="384" spans="1:16" x14ac:dyDescent="0.35">
      <c r="A384" s="2" t="s">
        <v>2644</v>
      </c>
      <c r="B384" s="4">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_xlfn.XLOOKUP(D384,products!$A$1:$A$49,products!$B$1:$B$49,,0)</f>
        <v>Exc</v>
      </c>
      <c r="J384" t="str">
        <f>_xlfn.XLOOKUP(D384,products!$A$1:$A$49,products!$C$1:$C$49,,0)</f>
        <v>D</v>
      </c>
      <c r="K384" s="7">
        <f>_xlfn.XLOOKUP(D384,products!$A$1:$A$49,products!$D$1:$D$49,,0)</f>
        <v>0.5</v>
      </c>
      <c r="L384" s="9">
        <f>_xlfn.XLOOKUP(D384,products!$A$1:$A$49,products!$E$1:$E$49,,0)</f>
        <v>7.29</v>
      </c>
      <c r="M384" s="9">
        <f t="shared" si="5"/>
        <v>21.87</v>
      </c>
      <c r="N384" s="3" t="str" cm="1">
        <f t="array" ref="N384">_xlfn.SWITCH(I384,
"Rob","Robusta",
"Exc","Excelsa",
"Ara","Arabica",
"Lib","Liberica",
"")</f>
        <v>Excelsa</v>
      </c>
      <c r="O384" t="str" cm="1">
        <f t="array" ref="O384">_xlfn.SWITCH(J384,
"M","Medium",
"L","Light",
"D","Dark",
"")</f>
        <v>Dark</v>
      </c>
      <c r="P384" t="str">
        <f>_xlfn.XLOOKUP(Orders[[#This Row],[Customer ID]],customers!$A$1:$A$1001,customers!$I$1:$I$1001,,0)</f>
        <v>No</v>
      </c>
    </row>
    <row r="385" spans="1:16" x14ac:dyDescent="0.35">
      <c r="A385" s="2" t="s">
        <v>2650</v>
      </c>
      <c r="B385" s="4">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_xlfn.XLOOKUP(D385,products!$A$1:$A$49,products!$B$1:$B$49,,0)</f>
        <v>Exc</v>
      </c>
      <c r="J385" t="str">
        <f>_xlfn.XLOOKUP(D385,products!$A$1:$A$49,products!$C$1:$C$49,,0)</f>
        <v>L</v>
      </c>
      <c r="K385" s="7">
        <f>_xlfn.XLOOKUP(D385,products!$A$1:$A$49,products!$D$1:$D$49,,0)</f>
        <v>0.5</v>
      </c>
      <c r="L385" s="9">
        <f>_xlfn.XLOOKUP(D385,products!$A$1:$A$49,products!$E$1:$E$49,,0)</f>
        <v>8.91</v>
      </c>
      <c r="M385" s="9">
        <f t="shared" si="5"/>
        <v>53.46</v>
      </c>
      <c r="N385" s="3" t="str" cm="1">
        <f t="array" ref="N385">_xlfn.SWITCH(I385,
"Rob","Robusta",
"Exc","Excelsa",
"Ara","Arabica",
"Lib","Liberica",
"")</f>
        <v>Excelsa</v>
      </c>
      <c r="O385" t="str" cm="1">
        <f t="array" ref="O385">_xlfn.SWITCH(J385,
"M","Medium",
"L","Light",
"D","Dark",
"")</f>
        <v>Light</v>
      </c>
      <c r="P385" t="str">
        <f>_xlfn.XLOOKUP(Orders[[#This Row],[Customer ID]],customers!$A$1:$A$1001,customers!$I$1:$I$1001,,0)</f>
        <v>Yes</v>
      </c>
    </row>
    <row r="386" spans="1:16" x14ac:dyDescent="0.35">
      <c r="A386" s="2" t="s">
        <v>2655</v>
      </c>
      <c r="B386" s="4">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_xlfn.XLOOKUP(D386,products!$A$1:$A$49,products!$B$1:$B$49,,0)</f>
        <v>Ara</v>
      </c>
      <c r="J386" t="str">
        <f>_xlfn.XLOOKUP(D386,products!$A$1:$A$49,products!$C$1:$C$49,,0)</f>
        <v>L</v>
      </c>
      <c r="K386" s="7">
        <f>_xlfn.XLOOKUP(D386,products!$A$1:$A$49,products!$D$1:$D$49,,0)</f>
        <v>2.5</v>
      </c>
      <c r="L386" s="9">
        <f>_xlfn.XLOOKUP(D386,products!$A$1:$A$49,products!$E$1:$E$49,,0)</f>
        <v>29.784999999999997</v>
      </c>
      <c r="M386" s="9">
        <f t="shared" si="5"/>
        <v>119.13999999999999</v>
      </c>
      <c r="N386" s="3" t="str" cm="1">
        <f t="array" ref="N386">_xlfn.SWITCH(I386,
"Rob","Robusta",
"Exc","Excelsa",
"Ara","Arabica",
"Lib","Liberica",
"")</f>
        <v>Arabica</v>
      </c>
      <c r="O386" t="str" cm="1">
        <f t="array" ref="O386">_xlfn.SWITCH(J386,
"M","Medium",
"L","Light",
"D","Dark",
"")</f>
        <v>Light</v>
      </c>
      <c r="P386" t="str">
        <f>_xlfn.XLOOKUP(Orders[[#This Row],[Customer ID]],customers!$A$1:$A$1001,customers!$I$1:$I$1001,,0)</f>
        <v>No</v>
      </c>
    </row>
    <row r="387" spans="1:16" x14ac:dyDescent="0.35">
      <c r="A387" s="2" t="s">
        <v>2660</v>
      </c>
      <c r="B387" s="4">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_xlfn.XLOOKUP(D387,products!$A$1:$A$49,products!$B$1:$B$49,,0)</f>
        <v>Lib</v>
      </c>
      <c r="J387" t="str">
        <f>_xlfn.XLOOKUP(D387,products!$A$1:$A$49,products!$C$1:$C$49,,0)</f>
        <v>M</v>
      </c>
      <c r="K387" s="7">
        <f>_xlfn.XLOOKUP(D387,products!$A$1:$A$49,products!$D$1:$D$49,,0)</f>
        <v>0.5</v>
      </c>
      <c r="L387" s="9">
        <f>_xlfn.XLOOKUP(D387,products!$A$1:$A$49,products!$E$1:$E$49,,0)</f>
        <v>8.73</v>
      </c>
      <c r="M387" s="9">
        <f t="shared" ref="M387:M450" si="6">L387*E387</f>
        <v>43.650000000000006</v>
      </c>
      <c r="N387" s="3" t="str" cm="1">
        <f t="array" ref="N387">_xlfn.SWITCH(I387,
"Rob","Robusta",
"Exc","Excelsa",
"Ara","Arabica",
"Lib","Liberica",
"")</f>
        <v>Liberica</v>
      </c>
      <c r="O387" t="str" cm="1">
        <f t="array" ref="O387">_xlfn.SWITCH(J387,
"M","Medium",
"L","Light",
"D","Dark",
"")</f>
        <v>Medium</v>
      </c>
      <c r="P387" t="str">
        <f>_xlfn.XLOOKUP(Orders[[#This Row],[Customer ID]],customers!$A$1:$A$1001,customers!$I$1:$I$1001,,0)</f>
        <v>Yes</v>
      </c>
    </row>
    <row r="388" spans="1:16" x14ac:dyDescent="0.35">
      <c r="A388" s="2" t="s">
        <v>2666</v>
      </c>
      <c r="B388" s="4">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_xlfn.XLOOKUP(D388,products!$A$1:$A$49,products!$B$1:$B$49,,0)</f>
        <v>Ara</v>
      </c>
      <c r="J388" t="str">
        <f>_xlfn.XLOOKUP(D388,products!$A$1:$A$49,products!$C$1:$C$49,,0)</f>
        <v>D</v>
      </c>
      <c r="K388" s="7">
        <f>_xlfn.XLOOKUP(D388,products!$A$1:$A$49,products!$D$1:$D$49,,0)</f>
        <v>0.2</v>
      </c>
      <c r="L388" s="9">
        <f>_xlfn.XLOOKUP(D388,products!$A$1:$A$49,products!$E$1:$E$49,,0)</f>
        <v>2.9849999999999999</v>
      </c>
      <c r="M388" s="9">
        <f t="shared" si="6"/>
        <v>17.91</v>
      </c>
      <c r="N388" s="3" t="str" cm="1">
        <f t="array" ref="N388">_xlfn.SWITCH(I388,
"Rob","Robusta",
"Exc","Excelsa",
"Ara","Arabica",
"Lib","Liberica",
"")</f>
        <v>Arabica</v>
      </c>
      <c r="O388" t="str" cm="1">
        <f t="array" ref="O388">_xlfn.SWITCH(J388,
"M","Medium",
"L","Light",
"D","Dark",
"")</f>
        <v>Dark</v>
      </c>
      <c r="P388" t="str">
        <f>_xlfn.XLOOKUP(Orders[[#This Row],[Customer ID]],customers!$A$1:$A$1001,customers!$I$1:$I$1001,,0)</f>
        <v>Yes</v>
      </c>
    </row>
    <row r="389" spans="1:16" x14ac:dyDescent="0.35">
      <c r="A389" s="2" t="s">
        <v>2671</v>
      </c>
      <c r="B389" s="4">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_xlfn.XLOOKUP(D389,products!$A$1:$A$49,products!$B$1:$B$49,,0)</f>
        <v>Exc</v>
      </c>
      <c r="J389" t="str">
        <f>_xlfn.XLOOKUP(D389,products!$A$1:$A$49,products!$C$1:$C$49,,0)</f>
        <v>L</v>
      </c>
      <c r="K389" s="7">
        <f>_xlfn.XLOOKUP(D389,products!$A$1:$A$49,products!$D$1:$D$49,,0)</f>
        <v>1</v>
      </c>
      <c r="L389" s="9">
        <f>_xlfn.XLOOKUP(D389,products!$A$1:$A$49,products!$E$1:$E$49,,0)</f>
        <v>14.85</v>
      </c>
      <c r="M389" s="9">
        <f t="shared" si="6"/>
        <v>74.25</v>
      </c>
      <c r="N389" s="3" t="str" cm="1">
        <f t="array" ref="N389">_xlfn.SWITCH(I389,
"Rob","Robusta",
"Exc","Excelsa",
"Ara","Arabica",
"Lib","Liberica",
"")</f>
        <v>Excelsa</v>
      </c>
      <c r="O389" t="str" cm="1">
        <f t="array" ref="O389">_xlfn.SWITCH(J389,
"M","Medium",
"L","Light",
"D","Dark",
"")</f>
        <v>Light</v>
      </c>
      <c r="P389" t="str">
        <f>_xlfn.XLOOKUP(Orders[[#This Row],[Customer ID]],customers!$A$1:$A$1001,customers!$I$1:$I$1001,,0)</f>
        <v>Yes</v>
      </c>
    </row>
    <row r="390" spans="1:16" x14ac:dyDescent="0.35">
      <c r="A390" s="2" t="s">
        <v>2677</v>
      </c>
      <c r="B390" s="4">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_xlfn.XLOOKUP(D390,products!$A$1:$A$49,products!$B$1:$B$49,,0)</f>
        <v>Lib</v>
      </c>
      <c r="J390" t="str">
        <f>_xlfn.XLOOKUP(D390,products!$A$1:$A$49,products!$C$1:$C$49,,0)</f>
        <v>D</v>
      </c>
      <c r="K390" s="7">
        <f>_xlfn.XLOOKUP(D390,products!$A$1:$A$49,products!$D$1:$D$49,,0)</f>
        <v>0.2</v>
      </c>
      <c r="L390" s="9">
        <f>_xlfn.XLOOKUP(D390,products!$A$1:$A$49,products!$E$1:$E$49,,0)</f>
        <v>3.8849999999999998</v>
      </c>
      <c r="M390" s="9">
        <f t="shared" si="6"/>
        <v>11.654999999999999</v>
      </c>
      <c r="N390" s="3" t="str" cm="1">
        <f t="array" ref="N390">_xlfn.SWITCH(I390,
"Rob","Robusta",
"Exc","Excelsa",
"Ara","Arabica",
"Lib","Liberica",
"")</f>
        <v>Liberica</v>
      </c>
      <c r="O390" t="str" cm="1">
        <f t="array" ref="O390">_xlfn.SWITCH(J390,
"M","Medium",
"L","Light",
"D","Dark",
"")</f>
        <v>Dark</v>
      </c>
      <c r="P390" t="str">
        <f>_xlfn.XLOOKUP(Orders[[#This Row],[Customer ID]],customers!$A$1:$A$1001,customers!$I$1:$I$1001,,0)</f>
        <v>Yes</v>
      </c>
    </row>
    <row r="391" spans="1:16" x14ac:dyDescent="0.35">
      <c r="A391" s="2" t="s">
        <v>2683</v>
      </c>
      <c r="B391" s="4">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_xlfn.XLOOKUP(D391,products!$A$1:$A$49,products!$B$1:$B$49,,0)</f>
        <v>Lib</v>
      </c>
      <c r="J391" t="str">
        <f>_xlfn.XLOOKUP(D391,products!$A$1:$A$49,products!$C$1:$C$49,,0)</f>
        <v>D</v>
      </c>
      <c r="K391" s="7">
        <f>_xlfn.XLOOKUP(D391,products!$A$1:$A$49,products!$D$1:$D$49,,0)</f>
        <v>0.5</v>
      </c>
      <c r="L391" s="9">
        <f>_xlfn.XLOOKUP(D391,products!$A$1:$A$49,products!$E$1:$E$49,,0)</f>
        <v>7.77</v>
      </c>
      <c r="M391" s="9">
        <f t="shared" si="6"/>
        <v>23.31</v>
      </c>
      <c r="N391" s="3" t="str" cm="1">
        <f t="array" ref="N391">_xlfn.SWITCH(I391,
"Rob","Robusta",
"Exc","Excelsa",
"Ara","Arabica",
"Lib","Liberica",
"")</f>
        <v>Liberica</v>
      </c>
      <c r="O391" t="str" cm="1">
        <f t="array" ref="O391">_xlfn.SWITCH(J391,
"M","Medium",
"L","Light",
"D","Dark",
"")</f>
        <v>Dark</v>
      </c>
      <c r="P391" t="str">
        <f>_xlfn.XLOOKUP(Orders[[#This Row],[Customer ID]],customers!$A$1:$A$1001,customers!$I$1:$I$1001,,0)</f>
        <v>Yes</v>
      </c>
    </row>
    <row r="392" spans="1:16" x14ac:dyDescent="0.35">
      <c r="A392" s="2" t="s">
        <v>2689</v>
      </c>
      <c r="B392" s="4">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_xlfn.XLOOKUP(D392,products!$A$1:$A$49,products!$B$1:$B$49,,0)</f>
        <v>Exc</v>
      </c>
      <c r="J392" t="str">
        <f>_xlfn.XLOOKUP(D392,products!$A$1:$A$49,products!$C$1:$C$49,,0)</f>
        <v>D</v>
      </c>
      <c r="K392" s="7">
        <f>_xlfn.XLOOKUP(D392,products!$A$1:$A$49,products!$D$1:$D$49,,0)</f>
        <v>0.5</v>
      </c>
      <c r="L392" s="9">
        <f>_xlfn.XLOOKUP(D392,products!$A$1:$A$49,products!$E$1:$E$49,,0)</f>
        <v>7.29</v>
      </c>
      <c r="M392" s="9">
        <f t="shared" si="6"/>
        <v>14.58</v>
      </c>
      <c r="N392" s="3" t="str" cm="1">
        <f t="array" ref="N392">_xlfn.SWITCH(I392,
"Rob","Robusta",
"Exc","Excelsa",
"Ara","Arabica",
"Lib","Liberica",
"")</f>
        <v>Excelsa</v>
      </c>
      <c r="O392" t="str" cm="1">
        <f t="array" ref="O392">_xlfn.SWITCH(J392,
"M","Medium",
"L","Light",
"D","Dark",
"")</f>
        <v>Dark</v>
      </c>
      <c r="P392" t="str">
        <f>_xlfn.XLOOKUP(Orders[[#This Row],[Customer ID]],customers!$A$1:$A$1001,customers!$I$1:$I$1001,,0)</f>
        <v>Yes</v>
      </c>
    </row>
    <row r="393" spans="1:16" x14ac:dyDescent="0.35">
      <c r="A393" s="2" t="s">
        <v>2694</v>
      </c>
      <c r="B393" s="4">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_xlfn.XLOOKUP(D393,products!$A$1:$A$49,products!$B$1:$B$49,,0)</f>
        <v>Ara</v>
      </c>
      <c r="J393" t="str">
        <f>_xlfn.XLOOKUP(D393,products!$A$1:$A$49,products!$C$1:$C$49,,0)</f>
        <v>M</v>
      </c>
      <c r="K393" s="7">
        <f>_xlfn.XLOOKUP(D393,products!$A$1:$A$49,products!$D$1:$D$49,,0)</f>
        <v>0.5</v>
      </c>
      <c r="L393" s="9">
        <f>_xlfn.XLOOKUP(D393,products!$A$1:$A$49,products!$E$1:$E$49,,0)</f>
        <v>6.75</v>
      </c>
      <c r="M393" s="9">
        <f t="shared" si="6"/>
        <v>13.5</v>
      </c>
      <c r="N393" s="3" t="str" cm="1">
        <f t="array" ref="N393">_xlfn.SWITCH(I393,
"Rob","Robusta",
"Exc","Excelsa",
"Ara","Arabica",
"Lib","Liberica",
"")</f>
        <v>Arabica</v>
      </c>
      <c r="O393" t="str" cm="1">
        <f t="array" ref="O393">_xlfn.SWITCH(J393,
"M","Medium",
"L","Light",
"D","Dark",
"")</f>
        <v>Medium</v>
      </c>
      <c r="P393" t="str">
        <f>_xlfn.XLOOKUP(Orders[[#This Row],[Customer ID]],customers!$A$1:$A$1001,customers!$I$1:$I$1001,,0)</f>
        <v>No</v>
      </c>
    </row>
    <row r="394" spans="1:16" x14ac:dyDescent="0.35">
      <c r="A394" s="2" t="s">
        <v>2699</v>
      </c>
      <c r="B394" s="4">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_xlfn.XLOOKUP(D394,products!$A$1:$A$49,products!$B$1:$B$49,,0)</f>
        <v>Exc</v>
      </c>
      <c r="J394" t="str">
        <f>_xlfn.XLOOKUP(D394,products!$A$1:$A$49,products!$C$1:$C$49,,0)</f>
        <v>L</v>
      </c>
      <c r="K394" s="7">
        <f>_xlfn.XLOOKUP(D394,products!$A$1:$A$49,products!$D$1:$D$49,,0)</f>
        <v>1</v>
      </c>
      <c r="L394" s="9">
        <f>_xlfn.XLOOKUP(D394,products!$A$1:$A$49,products!$E$1:$E$49,,0)</f>
        <v>14.85</v>
      </c>
      <c r="M394" s="9">
        <f t="shared" si="6"/>
        <v>89.1</v>
      </c>
      <c r="N394" s="3" t="str" cm="1">
        <f t="array" ref="N394">_xlfn.SWITCH(I394,
"Rob","Robusta",
"Exc","Excelsa",
"Ara","Arabica",
"Lib","Liberica",
"")</f>
        <v>Excelsa</v>
      </c>
      <c r="O394" t="str" cm="1">
        <f t="array" ref="O394">_xlfn.SWITCH(J394,
"M","Medium",
"L","Light",
"D","Dark",
"")</f>
        <v>Light</v>
      </c>
      <c r="P394" t="str">
        <f>_xlfn.XLOOKUP(Orders[[#This Row],[Customer ID]],customers!$A$1:$A$1001,customers!$I$1:$I$1001,,0)</f>
        <v>No</v>
      </c>
    </row>
    <row r="395" spans="1:16" x14ac:dyDescent="0.35">
      <c r="A395" s="2" t="s">
        <v>2699</v>
      </c>
      <c r="B395" s="4">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_xlfn.XLOOKUP(D395,products!$A$1:$A$49,products!$B$1:$B$49,,0)</f>
        <v>Ara</v>
      </c>
      <c r="J395" t="str">
        <f>_xlfn.XLOOKUP(D395,products!$A$1:$A$49,products!$C$1:$C$49,,0)</f>
        <v>L</v>
      </c>
      <c r="K395" s="7">
        <f>_xlfn.XLOOKUP(D395,products!$A$1:$A$49,products!$D$1:$D$49,,0)</f>
        <v>0.2</v>
      </c>
      <c r="L395" s="9">
        <f>_xlfn.XLOOKUP(D395,products!$A$1:$A$49,products!$E$1:$E$49,,0)</f>
        <v>3.8849999999999998</v>
      </c>
      <c r="M395" s="9">
        <f t="shared" si="6"/>
        <v>3.8849999999999998</v>
      </c>
      <c r="N395" s="3" t="str" cm="1">
        <f t="array" ref="N395">_xlfn.SWITCH(I395,
"Rob","Robusta",
"Exc","Excelsa",
"Ara","Arabica",
"Lib","Liberica",
"")</f>
        <v>Arabica</v>
      </c>
      <c r="O395" t="str" cm="1">
        <f t="array" ref="O395">_xlfn.SWITCH(J395,
"M","Medium",
"L","Light",
"D","Dark",
"")</f>
        <v>Light</v>
      </c>
      <c r="P395" t="str">
        <f>_xlfn.XLOOKUP(Orders[[#This Row],[Customer ID]],customers!$A$1:$A$1001,customers!$I$1:$I$1001,,0)</f>
        <v>No</v>
      </c>
    </row>
    <row r="396" spans="1:16" x14ac:dyDescent="0.35">
      <c r="A396" s="2" t="s">
        <v>2710</v>
      </c>
      <c r="B396" s="4">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_xlfn.XLOOKUP(D396,products!$A$1:$A$49,products!$B$1:$B$49,,0)</f>
        <v>Rob</v>
      </c>
      <c r="J396" t="str">
        <f>_xlfn.XLOOKUP(D396,products!$A$1:$A$49,products!$C$1:$C$49,,0)</f>
        <v>L</v>
      </c>
      <c r="K396" s="7">
        <f>_xlfn.XLOOKUP(D396,products!$A$1:$A$49,products!$D$1:$D$49,,0)</f>
        <v>2.5</v>
      </c>
      <c r="L396" s="9">
        <f>_xlfn.XLOOKUP(D396,products!$A$1:$A$49,products!$E$1:$E$49,,0)</f>
        <v>27.484999999999996</v>
      </c>
      <c r="M396" s="9">
        <f t="shared" si="6"/>
        <v>109.93999999999998</v>
      </c>
      <c r="N396" s="3" t="str" cm="1">
        <f t="array" ref="N396">_xlfn.SWITCH(I396,
"Rob","Robusta",
"Exc","Excelsa",
"Ara","Arabica",
"Lib","Liberica",
"")</f>
        <v>Robusta</v>
      </c>
      <c r="O396" t="str" cm="1">
        <f t="array" ref="O396">_xlfn.SWITCH(J396,
"M","Medium",
"L","Light",
"D","Dark",
"")</f>
        <v>Light</v>
      </c>
      <c r="P396" t="str">
        <f>_xlfn.XLOOKUP(Orders[[#This Row],[Customer ID]],customers!$A$1:$A$1001,customers!$I$1:$I$1001,,0)</f>
        <v>No</v>
      </c>
    </row>
    <row r="397" spans="1:16" x14ac:dyDescent="0.35">
      <c r="A397" s="2" t="s">
        <v>2716</v>
      </c>
      <c r="B397" s="4">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_xlfn.XLOOKUP(D397,products!$A$1:$A$49,products!$B$1:$B$49,,0)</f>
        <v>Lib</v>
      </c>
      <c r="J397" t="str">
        <f>_xlfn.XLOOKUP(D397,products!$A$1:$A$49,products!$C$1:$C$49,,0)</f>
        <v>D</v>
      </c>
      <c r="K397" s="7">
        <f>_xlfn.XLOOKUP(D397,products!$A$1:$A$49,products!$D$1:$D$49,,0)</f>
        <v>0.5</v>
      </c>
      <c r="L397" s="9">
        <f>_xlfn.XLOOKUP(D397,products!$A$1:$A$49,products!$E$1:$E$49,,0)</f>
        <v>7.77</v>
      </c>
      <c r="M397" s="9">
        <f t="shared" si="6"/>
        <v>46.62</v>
      </c>
      <c r="N397" s="3" t="str" cm="1">
        <f t="array" ref="N397">_xlfn.SWITCH(I397,
"Rob","Robusta",
"Exc","Excelsa",
"Ara","Arabica",
"Lib","Liberica",
"")</f>
        <v>Liberica</v>
      </c>
      <c r="O397" t="str" cm="1">
        <f t="array" ref="O397">_xlfn.SWITCH(J397,
"M","Medium",
"L","Light",
"D","Dark",
"")</f>
        <v>Dark</v>
      </c>
      <c r="P397" t="str">
        <f>_xlfn.XLOOKUP(Orders[[#This Row],[Customer ID]],customers!$A$1:$A$1001,customers!$I$1:$I$1001,,0)</f>
        <v>Yes</v>
      </c>
    </row>
    <row r="398" spans="1:16" x14ac:dyDescent="0.35">
      <c r="A398" s="2" t="s">
        <v>2721</v>
      </c>
      <c r="B398" s="4">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_xlfn.XLOOKUP(D398,products!$A$1:$A$49,products!$B$1:$B$49,,0)</f>
        <v>Ara</v>
      </c>
      <c r="J398" t="str">
        <f>_xlfn.XLOOKUP(D398,products!$A$1:$A$49,products!$C$1:$C$49,,0)</f>
        <v>L</v>
      </c>
      <c r="K398" s="7">
        <f>_xlfn.XLOOKUP(D398,products!$A$1:$A$49,products!$D$1:$D$49,,0)</f>
        <v>0.5</v>
      </c>
      <c r="L398" s="9">
        <f>_xlfn.XLOOKUP(D398,products!$A$1:$A$49,products!$E$1:$E$49,,0)</f>
        <v>7.77</v>
      </c>
      <c r="M398" s="9">
        <f t="shared" si="6"/>
        <v>38.849999999999994</v>
      </c>
      <c r="N398" s="3" t="str" cm="1">
        <f t="array" ref="N398">_xlfn.SWITCH(I398,
"Rob","Robusta",
"Exc","Excelsa",
"Ara","Arabica",
"Lib","Liberica",
"")</f>
        <v>Arabica</v>
      </c>
      <c r="O398" t="str" cm="1">
        <f t="array" ref="O398">_xlfn.SWITCH(J398,
"M","Medium",
"L","Light",
"D","Dark",
"")</f>
        <v>Light</v>
      </c>
      <c r="P398" t="str">
        <f>_xlfn.XLOOKUP(Orders[[#This Row],[Customer ID]],customers!$A$1:$A$1001,customers!$I$1:$I$1001,,0)</f>
        <v>No</v>
      </c>
    </row>
    <row r="399" spans="1:16" x14ac:dyDescent="0.35">
      <c r="A399" s="2" t="s">
        <v>2727</v>
      </c>
      <c r="B399" s="4">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_xlfn.XLOOKUP(D399,products!$A$1:$A$49,products!$B$1:$B$49,,0)</f>
        <v>Lib</v>
      </c>
      <c r="J399" t="str">
        <f>_xlfn.XLOOKUP(D399,products!$A$1:$A$49,products!$C$1:$C$49,,0)</f>
        <v>D</v>
      </c>
      <c r="K399" s="7">
        <f>_xlfn.XLOOKUP(D399,products!$A$1:$A$49,products!$D$1:$D$49,,0)</f>
        <v>0.5</v>
      </c>
      <c r="L399" s="9">
        <f>_xlfn.XLOOKUP(D399,products!$A$1:$A$49,products!$E$1:$E$49,,0)</f>
        <v>7.77</v>
      </c>
      <c r="M399" s="9">
        <f t="shared" si="6"/>
        <v>31.08</v>
      </c>
      <c r="N399" s="3" t="str" cm="1">
        <f t="array" ref="N399">_xlfn.SWITCH(I399,
"Rob","Robusta",
"Exc","Excelsa",
"Ara","Arabica",
"Lib","Liberica",
"")</f>
        <v>Liberica</v>
      </c>
      <c r="O399" t="str" cm="1">
        <f t="array" ref="O399">_xlfn.SWITCH(J399,
"M","Medium",
"L","Light",
"D","Dark",
"")</f>
        <v>Dark</v>
      </c>
      <c r="P399" t="str">
        <f>_xlfn.XLOOKUP(Orders[[#This Row],[Customer ID]],customers!$A$1:$A$1001,customers!$I$1:$I$1001,,0)</f>
        <v>Yes</v>
      </c>
    </row>
    <row r="400" spans="1:16" x14ac:dyDescent="0.35">
      <c r="A400" s="2" t="s">
        <v>2733</v>
      </c>
      <c r="B400" s="4">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_xlfn.XLOOKUP(D400,products!$A$1:$A$49,products!$B$1:$B$49,,0)</f>
        <v>Ara</v>
      </c>
      <c r="J400" t="str">
        <f>_xlfn.XLOOKUP(D400,products!$A$1:$A$49,products!$C$1:$C$49,,0)</f>
        <v>D</v>
      </c>
      <c r="K400" s="7">
        <f>_xlfn.XLOOKUP(D400,products!$A$1:$A$49,products!$D$1:$D$49,,0)</f>
        <v>0.2</v>
      </c>
      <c r="L400" s="9">
        <f>_xlfn.XLOOKUP(D400,products!$A$1:$A$49,products!$E$1:$E$49,,0)</f>
        <v>2.9849999999999999</v>
      </c>
      <c r="M400" s="9">
        <f t="shared" si="6"/>
        <v>17.91</v>
      </c>
      <c r="N400" s="3" t="str" cm="1">
        <f t="array" ref="N400">_xlfn.SWITCH(I400,
"Rob","Robusta",
"Exc","Excelsa",
"Ara","Arabica",
"Lib","Liberica",
"")</f>
        <v>Arabica</v>
      </c>
      <c r="O400" t="str" cm="1">
        <f t="array" ref="O400">_xlfn.SWITCH(J400,
"M","Medium",
"L","Light",
"D","Dark",
"")</f>
        <v>Dark</v>
      </c>
      <c r="P400" t="str">
        <f>_xlfn.XLOOKUP(Orders[[#This Row],[Customer ID]],customers!$A$1:$A$1001,customers!$I$1:$I$1001,,0)</f>
        <v>Yes</v>
      </c>
    </row>
    <row r="401" spans="1:16" x14ac:dyDescent="0.35">
      <c r="A401" s="2" t="s">
        <v>2739</v>
      </c>
      <c r="B401" s="4">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_xlfn.XLOOKUP(D401,products!$A$1:$A$49,products!$B$1:$B$49,,0)</f>
        <v>Exc</v>
      </c>
      <c r="J401" t="str">
        <f>_xlfn.XLOOKUP(D401,products!$A$1:$A$49,products!$C$1:$C$49,,0)</f>
        <v>D</v>
      </c>
      <c r="K401" s="7">
        <f>_xlfn.XLOOKUP(D401,products!$A$1:$A$49,products!$D$1:$D$49,,0)</f>
        <v>2.5</v>
      </c>
      <c r="L401" s="9">
        <f>_xlfn.XLOOKUP(D401,products!$A$1:$A$49,products!$E$1:$E$49,,0)</f>
        <v>27.945</v>
      </c>
      <c r="M401" s="9">
        <f t="shared" si="6"/>
        <v>167.67000000000002</v>
      </c>
      <c r="N401" s="3" t="str" cm="1">
        <f t="array" ref="N401">_xlfn.SWITCH(I401,
"Rob","Robusta",
"Exc","Excelsa",
"Ara","Arabica",
"Lib","Liberica",
"")</f>
        <v>Excelsa</v>
      </c>
      <c r="O401" t="str" cm="1">
        <f t="array" ref="O401">_xlfn.SWITCH(J401,
"M","Medium",
"L","Light",
"D","Dark",
"")</f>
        <v>Dark</v>
      </c>
      <c r="P401" t="str">
        <f>_xlfn.XLOOKUP(Orders[[#This Row],[Customer ID]],customers!$A$1:$A$1001,customers!$I$1:$I$1001,,0)</f>
        <v>No</v>
      </c>
    </row>
    <row r="402" spans="1:16" x14ac:dyDescent="0.35">
      <c r="A402" s="2" t="s">
        <v>2745</v>
      </c>
      <c r="B402" s="4">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_xlfn.XLOOKUP(D402,products!$A$1:$A$49,products!$B$1:$B$49,,0)</f>
        <v>Lib</v>
      </c>
      <c r="J402" t="str">
        <f>_xlfn.XLOOKUP(D402,products!$A$1:$A$49,products!$C$1:$C$49,,0)</f>
        <v>L</v>
      </c>
      <c r="K402" s="7">
        <f>_xlfn.XLOOKUP(D402,products!$A$1:$A$49,products!$D$1:$D$49,,0)</f>
        <v>1</v>
      </c>
      <c r="L402" s="9">
        <f>_xlfn.XLOOKUP(D402,products!$A$1:$A$49,products!$E$1:$E$49,,0)</f>
        <v>15.85</v>
      </c>
      <c r="M402" s="9">
        <f t="shared" si="6"/>
        <v>63.4</v>
      </c>
      <c r="N402" s="3" t="str" cm="1">
        <f t="array" ref="N402">_xlfn.SWITCH(I402,
"Rob","Robusta",
"Exc","Excelsa",
"Ara","Arabica",
"Lib","Liberica",
"")</f>
        <v>Liberica</v>
      </c>
      <c r="O402" t="str" cm="1">
        <f t="array" ref="O402">_xlfn.SWITCH(J402,
"M","Medium",
"L","Light",
"D","Dark",
"")</f>
        <v>Light</v>
      </c>
      <c r="P402" t="str">
        <f>_xlfn.XLOOKUP(Orders[[#This Row],[Customer ID]],customers!$A$1:$A$1001,customers!$I$1:$I$1001,,0)</f>
        <v>No</v>
      </c>
    </row>
    <row r="403" spans="1:16" x14ac:dyDescent="0.35">
      <c r="A403" s="2" t="s">
        <v>2751</v>
      </c>
      <c r="B403" s="4">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_xlfn.XLOOKUP(D403,products!$A$1:$A$49,products!$B$1:$B$49,,0)</f>
        <v>Lib</v>
      </c>
      <c r="J403" t="str">
        <f>_xlfn.XLOOKUP(D403,products!$A$1:$A$49,products!$C$1:$C$49,,0)</f>
        <v>M</v>
      </c>
      <c r="K403" s="7">
        <f>_xlfn.XLOOKUP(D403,products!$A$1:$A$49,products!$D$1:$D$49,,0)</f>
        <v>0.2</v>
      </c>
      <c r="L403" s="9">
        <f>_xlfn.XLOOKUP(D403,products!$A$1:$A$49,products!$E$1:$E$49,,0)</f>
        <v>4.3650000000000002</v>
      </c>
      <c r="M403" s="9">
        <f t="shared" si="6"/>
        <v>8.73</v>
      </c>
      <c r="N403" s="3" t="str" cm="1">
        <f t="array" ref="N403">_xlfn.SWITCH(I403,
"Rob","Robusta",
"Exc","Excelsa",
"Ara","Arabica",
"Lib","Liberica",
"")</f>
        <v>Liberica</v>
      </c>
      <c r="O403" t="str" cm="1">
        <f t="array" ref="O403">_xlfn.SWITCH(J403,
"M","Medium",
"L","Light",
"D","Dark",
"")</f>
        <v>Medium</v>
      </c>
      <c r="P403" t="str">
        <f>_xlfn.XLOOKUP(Orders[[#This Row],[Customer ID]],customers!$A$1:$A$1001,customers!$I$1:$I$1001,,0)</f>
        <v>Yes</v>
      </c>
    </row>
    <row r="404" spans="1:16" x14ac:dyDescent="0.35">
      <c r="A404" s="2" t="s">
        <v>2757</v>
      </c>
      <c r="B404" s="4">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_xlfn.XLOOKUP(D404,products!$A$1:$A$49,products!$B$1:$B$49,,0)</f>
        <v>Rob</v>
      </c>
      <c r="J404" t="str">
        <f>_xlfn.XLOOKUP(D404,products!$A$1:$A$49,products!$C$1:$C$49,,0)</f>
        <v>D</v>
      </c>
      <c r="K404" s="7">
        <f>_xlfn.XLOOKUP(D404,products!$A$1:$A$49,products!$D$1:$D$49,,0)</f>
        <v>1</v>
      </c>
      <c r="L404" s="9">
        <f>_xlfn.XLOOKUP(D404,products!$A$1:$A$49,products!$E$1:$E$49,,0)</f>
        <v>8.9499999999999993</v>
      </c>
      <c r="M404" s="9">
        <f t="shared" si="6"/>
        <v>26.849999999999998</v>
      </c>
      <c r="N404" s="3" t="str" cm="1">
        <f t="array" ref="N404">_xlfn.SWITCH(I404,
"Rob","Robusta",
"Exc","Excelsa",
"Ara","Arabica",
"Lib","Liberica",
"")</f>
        <v>Robusta</v>
      </c>
      <c r="O404" t="str" cm="1">
        <f t="array" ref="O404">_xlfn.SWITCH(J404,
"M","Medium",
"L","Light",
"D","Dark",
"")</f>
        <v>Dark</v>
      </c>
      <c r="P404" t="str">
        <f>_xlfn.XLOOKUP(Orders[[#This Row],[Customer ID]],customers!$A$1:$A$1001,customers!$I$1:$I$1001,,0)</f>
        <v>Yes</v>
      </c>
    </row>
    <row r="405" spans="1:16" x14ac:dyDescent="0.35">
      <c r="A405" s="2" t="s">
        <v>2763</v>
      </c>
      <c r="B405" s="4">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_xlfn.XLOOKUP(D405,products!$A$1:$A$49,products!$B$1:$B$49,,0)</f>
        <v>Lib</v>
      </c>
      <c r="J405" t="str">
        <f>_xlfn.XLOOKUP(D405,products!$A$1:$A$49,products!$C$1:$C$49,,0)</f>
        <v>L</v>
      </c>
      <c r="K405" s="7">
        <f>_xlfn.XLOOKUP(D405,products!$A$1:$A$49,products!$D$1:$D$49,,0)</f>
        <v>0.2</v>
      </c>
      <c r="L405" s="9">
        <f>_xlfn.XLOOKUP(D405,products!$A$1:$A$49,products!$E$1:$E$49,,0)</f>
        <v>4.7549999999999999</v>
      </c>
      <c r="M405" s="9">
        <f t="shared" si="6"/>
        <v>9.51</v>
      </c>
      <c r="N405" s="3" t="str" cm="1">
        <f t="array" ref="N405">_xlfn.SWITCH(I405,
"Rob","Robusta",
"Exc","Excelsa",
"Ara","Arabica",
"Lib","Liberica",
"")</f>
        <v>Liberica</v>
      </c>
      <c r="O405" t="str" cm="1">
        <f t="array" ref="O405">_xlfn.SWITCH(J405,
"M","Medium",
"L","Light",
"D","Dark",
"")</f>
        <v>Light</v>
      </c>
      <c r="P405" t="str">
        <f>_xlfn.XLOOKUP(Orders[[#This Row],[Customer ID]],customers!$A$1:$A$1001,customers!$I$1:$I$1001,,0)</f>
        <v>No</v>
      </c>
    </row>
    <row r="406" spans="1:16" x14ac:dyDescent="0.35">
      <c r="A406" s="2" t="s">
        <v>2769</v>
      </c>
      <c r="B406" s="4">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_xlfn.XLOOKUP(D406,products!$A$1:$A$49,products!$B$1:$B$49,,0)</f>
        <v>Ara</v>
      </c>
      <c r="J406" t="str">
        <f>_xlfn.XLOOKUP(D406,products!$A$1:$A$49,products!$C$1:$C$49,,0)</f>
        <v>D</v>
      </c>
      <c r="K406" s="7">
        <f>_xlfn.XLOOKUP(D406,products!$A$1:$A$49,products!$D$1:$D$49,,0)</f>
        <v>1</v>
      </c>
      <c r="L406" s="9">
        <f>_xlfn.XLOOKUP(D406,products!$A$1:$A$49,products!$E$1:$E$49,,0)</f>
        <v>9.9499999999999993</v>
      </c>
      <c r="M406" s="9">
        <f t="shared" si="6"/>
        <v>39.799999999999997</v>
      </c>
      <c r="N406" s="3" t="str" cm="1">
        <f t="array" ref="N406">_xlfn.SWITCH(I406,
"Rob","Robusta",
"Exc","Excelsa",
"Ara","Arabica",
"Lib","Liberica",
"")</f>
        <v>Arabica</v>
      </c>
      <c r="O406" t="str" cm="1">
        <f t="array" ref="O406">_xlfn.SWITCH(J406,
"M","Medium",
"L","Light",
"D","Dark",
"")</f>
        <v>Dark</v>
      </c>
      <c r="P406" t="str">
        <f>_xlfn.XLOOKUP(Orders[[#This Row],[Customer ID]],customers!$A$1:$A$1001,customers!$I$1:$I$1001,,0)</f>
        <v>No</v>
      </c>
    </row>
    <row r="407" spans="1:16" x14ac:dyDescent="0.35">
      <c r="A407" s="2" t="s">
        <v>2775</v>
      </c>
      <c r="B407" s="4">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_xlfn.XLOOKUP(D407,products!$A$1:$A$49,products!$B$1:$B$49,,0)</f>
        <v>Exc</v>
      </c>
      <c r="J407" t="str">
        <f>_xlfn.XLOOKUP(D407,products!$A$1:$A$49,products!$C$1:$C$49,,0)</f>
        <v>M</v>
      </c>
      <c r="K407" s="7">
        <f>_xlfn.XLOOKUP(D407,products!$A$1:$A$49,products!$D$1:$D$49,,0)</f>
        <v>0.5</v>
      </c>
      <c r="L407" s="9">
        <f>_xlfn.XLOOKUP(D407,products!$A$1:$A$49,products!$E$1:$E$49,,0)</f>
        <v>8.25</v>
      </c>
      <c r="M407" s="9">
        <f t="shared" si="6"/>
        <v>24.75</v>
      </c>
      <c r="N407" s="3" t="str" cm="1">
        <f t="array" ref="N407">_xlfn.SWITCH(I407,
"Rob","Robusta",
"Exc","Excelsa",
"Ara","Arabica",
"Lib","Liberica",
"")</f>
        <v>Excelsa</v>
      </c>
      <c r="O407" t="str" cm="1">
        <f t="array" ref="O407">_xlfn.SWITCH(J407,
"M","Medium",
"L","Light",
"D","Dark",
"")</f>
        <v>Medium</v>
      </c>
      <c r="P407" t="str">
        <f>_xlfn.XLOOKUP(Orders[[#This Row],[Customer ID]],customers!$A$1:$A$1001,customers!$I$1:$I$1001,,0)</f>
        <v>Yes</v>
      </c>
    </row>
    <row r="408" spans="1:16" x14ac:dyDescent="0.35">
      <c r="A408" s="2" t="s">
        <v>2781</v>
      </c>
      <c r="B408" s="4">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_xlfn.XLOOKUP(D408,products!$A$1:$A$49,products!$B$1:$B$49,,0)</f>
        <v>Exc</v>
      </c>
      <c r="J408" t="str">
        <f>_xlfn.XLOOKUP(D408,products!$A$1:$A$49,products!$C$1:$C$49,,0)</f>
        <v>M</v>
      </c>
      <c r="K408" s="7">
        <f>_xlfn.XLOOKUP(D408,products!$A$1:$A$49,products!$D$1:$D$49,,0)</f>
        <v>1</v>
      </c>
      <c r="L408" s="9">
        <f>_xlfn.XLOOKUP(D408,products!$A$1:$A$49,products!$E$1:$E$49,,0)</f>
        <v>13.75</v>
      </c>
      <c r="M408" s="9">
        <f t="shared" si="6"/>
        <v>68.75</v>
      </c>
      <c r="N408" s="3" t="str" cm="1">
        <f t="array" ref="N408">_xlfn.SWITCH(I408,
"Rob","Robusta",
"Exc","Excelsa",
"Ara","Arabica",
"Lib","Liberica",
"")</f>
        <v>Excelsa</v>
      </c>
      <c r="O408" t="str" cm="1">
        <f t="array" ref="O408">_xlfn.SWITCH(J408,
"M","Medium",
"L","Light",
"D","Dark",
"")</f>
        <v>Medium</v>
      </c>
      <c r="P408" t="str">
        <f>_xlfn.XLOOKUP(Orders[[#This Row],[Customer ID]],customers!$A$1:$A$1001,customers!$I$1:$I$1001,,0)</f>
        <v>Yes</v>
      </c>
    </row>
    <row r="409" spans="1:16" x14ac:dyDescent="0.35">
      <c r="A409" s="2" t="s">
        <v>2787</v>
      </c>
      <c r="B409" s="4">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_xlfn.XLOOKUP(D409,products!$A$1:$A$49,products!$B$1:$B$49,,0)</f>
        <v>Exc</v>
      </c>
      <c r="J409" t="str">
        <f>_xlfn.XLOOKUP(D409,products!$A$1:$A$49,products!$C$1:$C$49,,0)</f>
        <v>M</v>
      </c>
      <c r="K409" s="7">
        <f>_xlfn.XLOOKUP(D409,products!$A$1:$A$49,products!$D$1:$D$49,,0)</f>
        <v>0.5</v>
      </c>
      <c r="L409" s="9">
        <f>_xlfn.XLOOKUP(D409,products!$A$1:$A$49,products!$E$1:$E$49,,0)</f>
        <v>8.25</v>
      </c>
      <c r="M409" s="9">
        <f t="shared" si="6"/>
        <v>49.5</v>
      </c>
      <c r="N409" s="3" t="str" cm="1">
        <f t="array" ref="N409">_xlfn.SWITCH(I409,
"Rob","Robusta",
"Exc","Excelsa",
"Ara","Arabica",
"Lib","Liberica",
"")</f>
        <v>Excelsa</v>
      </c>
      <c r="O409" t="str" cm="1">
        <f t="array" ref="O409">_xlfn.SWITCH(J409,
"M","Medium",
"L","Light",
"D","Dark",
"")</f>
        <v>Medium</v>
      </c>
      <c r="P409" t="str">
        <f>_xlfn.XLOOKUP(Orders[[#This Row],[Customer ID]],customers!$A$1:$A$1001,customers!$I$1:$I$1001,,0)</f>
        <v>No</v>
      </c>
    </row>
    <row r="410" spans="1:16" x14ac:dyDescent="0.35">
      <c r="A410" s="2" t="s">
        <v>2792</v>
      </c>
      <c r="B410" s="4">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_xlfn.XLOOKUP(D410,products!$A$1:$A$49,products!$B$1:$B$49,,0)</f>
        <v>Ara</v>
      </c>
      <c r="J410" t="str">
        <f>_xlfn.XLOOKUP(D410,products!$A$1:$A$49,products!$C$1:$C$49,,0)</f>
        <v>M</v>
      </c>
      <c r="K410" s="7">
        <f>_xlfn.XLOOKUP(D410,products!$A$1:$A$49,products!$D$1:$D$49,,0)</f>
        <v>2.5</v>
      </c>
      <c r="L410" s="9">
        <f>_xlfn.XLOOKUP(D410,products!$A$1:$A$49,products!$E$1:$E$49,,0)</f>
        <v>25.874999999999996</v>
      </c>
      <c r="M410" s="9">
        <f t="shared" si="6"/>
        <v>51.749999999999993</v>
      </c>
      <c r="N410" s="3" t="str" cm="1">
        <f t="array" ref="N410">_xlfn.SWITCH(I410,
"Rob","Robusta",
"Exc","Excelsa",
"Ara","Arabica",
"Lib","Liberica",
"")</f>
        <v>Arabica</v>
      </c>
      <c r="O410" t="str" cm="1">
        <f t="array" ref="O410">_xlfn.SWITCH(J410,
"M","Medium",
"L","Light",
"D","Dark",
"")</f>
        <v>Medium</v>
      </c>
      <c r="P410" t="str">
        <f>_xlfn.XLOOKUP(Orders[[#This Row],[Customer ID]],customers!$A$1:$A$1001,customers!$I$1:$I$1001,,0)</f>
        <v>Yes</v>
      </c>
    </row>
    <row r="411" spans="1:16" x14ac:dyDescent="0.35">
      <c r="A411" s="2" t="s">
        <v>2798</v>
      </c>
      <c r="B411" s="4">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_xlfn.XLOOKUP(D411,products!$A$1:$A$49,products!$B$1:$B$49,,0)</f>
        <v>Lib</v>
      </c>
      <c r="J411" t="str">
        <f>_xlfn.XLOOKUP(D411,products!$A$1:$A$49,products!$C$1:$C$49,,0)</f>
        <v>L</v>
      </c>
      <c r="K411" s="7">
        <f>_xlfn.XLOOKUP(D411,products!$A$1:$A$49,products!$D$1:$D$49,,0)</f>
        <v>1</v>
      </c>
      <c r="L411" s="9">
        <f>_xlfn.XLOOKUP(D411,products!$A$1:$A$49,products!$E$1:$E$49,,0)</f>
        <v>15.85</v>
      </c>
      <c r="M411" s="9">
        <f t="shared" si="6"/>
        <v>47.55</v>
      </c>
      <c r="N411" s="3" t="str" cm="1">
        <f t="array" ref="N411">_xlfn.SWITCH(I411,
"Rob","Robusta",
"Exc","Excelsa",
"Ara","Arabica",
"Lib","Liberica",
"")</f>
        <v>Liberica</v>
      </c>
      <c r="O411" t="str" cm="1">
        <f t="array" ref="O411">_xlfn.SWITCH(J411,
"M","Medium",
"L","Light",
"D","Dark",
"")</f>
        <v>Light</v>
      </c>
      <c r="P411" t="str">
        <f>_xlfn.XLOOKUP(Orders[[#This Row],[Customer ID]],customers!$A$1:$A$1001,customers!$I$1:$I$1001,,0)</f>
        <v>Yes</v>
      </c>
    </row>
    <row r="412" spans="1:16" x14ac:dyDescent="0.35">
      <c r="A412" s="2" t="s">
        <v>2803</v>
      </c>
      <c r="B412" s="4">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_xlfn.XLOOKUP(D412,products!$A$1:$A$49,products!$B$1:$B$49,,0)</f>
        <v>Ara</v>
      </c>
      <c r="J412" t="str">
        <f>_xlfn.XLOOKUP(D412,products!$A$1:$A$49,products!$C$1:$C$49,,0)</f>
        <v>L</v>
      </c>
      <c r="K412" s="7">
        <f>_xlfn.XLOOKUP(D412,products!$A$1:$A$49,products!$D$1:$D$49,,0)</f>
        <v>0.2</v>
      </c>
      <c r="L412" s="9">
        <f>_xlfn.XLOOKUP(D412,products!$A$1:$A$49,products!$E$1:$E$49,,0)</f>
        <v>3.8849999999999998</v>
      </c>
      <c r="M412" s="9">
        <f t="shared" si="6"/>
        <v>15.54</v>
      </c>
      <c r="N412" s="3" t="str" cm="1">
        <f t="array" ref="N412">_xlfn.SWITCH(I412,
"Rob","Robusta",
"Exc","Excelsa",
"Ara","Arabica",
"Lib","Liberica",
"")</f>
        <v>Arabica</v>
      </c>
      <c r="O412" t="str" cm="1">
        <f t="array" ref="O412">_xlfn.SWITCH(J412,
"M","Medium",
"L","Light",
"D","Dark",
"")</f>
        <v>Light</v>
      </c>
      <c r="P412" t="str">
        <f>_xlfn.XLOOKUP(Orders[[#This Row],[Customer ID]],customers!$A$1:$A$1001,customers!$I$1:$I$1001,,0)</f>
        <v>No</v>
      </c>
    </row>
    <row r="413" spans="1:16" x14ac:dyDescent="0.35">
      <c r="A413" s="2" t="s">
        <v>2808</v>
      </c>
      <c r="B413" s="4">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_xlfn.XLOOKUP(D413,products!$A$1:$A$49,products!$B$1:$B$49,,0)</f>
        <v>Lib</v>
      </c>
      <c r="J413" t="str">
        <f>_xlfn.XLOOKUP(D413,products!$A$1:$A$49,products!$C$1:$C$49,,0)</f>
        <v>M</v>
      </c>
      <c r="K413" s="7">
        <f>_xlfn.XLOOKUP(D413,products!$A$1:$A$49,products!$D$1:$D$49,,0)</f>
        <v>1</v>
      </c>
      <c r="L413" s="9">
        <f>_xlfn.XLOOKUP(D413,products!$A$1:$A$49,products!$E$1:$E$49,,0)</f>
        <v>14.55</v>
      </c>
      <c r="M413" s="9">
        <f t="shared" si="6"/>
        <v>87.300000000000011</v>
      </c>
      <c r="N413" s="3" t="str" cm="1">
        <f t="array" ref="N413">_xlfn.SWITCH(I413,
"Rob","Robusta",
"Exc","Excelsa",
"Ara","Arabica",
"Lib","Liberica",
"")</f>
        <v>Liberica</v>
      </c>
      <c r="O413" t="str" cm="1">
        <f t="array" ref="O413">_xlfn.SWITCH(J413,
"M","Medium",
"L","Light",
"D","Dark",
"")</f>
        <v>Medium</v>
      </c>
      <c r="P413" t="str">
        <f>_xlfn.XLOOKUP(Orders[[#This Row],[Customer ID]],customers!$A$1:$A$1001,customers!$I$1:$I$1001,,0)</f>
        <v>Yes</v>
      </c>
    </row>
    <row r="414" spans="1:16" x14ac:dyDescent="0.35">
      <c r="A414" s="2" t="s">
        <v>2813</v>
      </c>
      <c r="B414" s="4">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_xlfn.XLOOKUP(D414,products!$A$1:$A$49,products!$B$1:$B$49,,0)</f>
        <v>Ara</v>
      </c>
      <c r="J414" t="str">
        <f>_xlfn.XLOOKUP(D414,products!$A$1:$A$49,products!$C$1:$C$49,,0)</f>
        <v>M</v>
      </c>
      <c r="K414" s="7">
        <f>_xlfn.XLOOKUP(D414,products!$A$1:$A$49,products!$D$1:$D$49,,0)</f>
        <v>1</v>
      </c>
      <c r="L414" s="9">
        <f>_xlfn.XLOOKUP(D414,products!$A$1:$A$49,products!$E$1:$E$49,,0)</f>
        <v>11.25</v>
      </c>
      <c r="M414" s="9">
        <f t="shared" si="6"/>
        <v>56.25</v>
      </c>
      <c r="N414" s="3" t="str" cm="1">
        <f t="array" ref="N414">_xlfn.SWITCH(I414,
"Rob","Robusta",
"Exc","Excelsa",
"Ara","Arabica",
"Lib","Liberica",
"")</f>
        <v>Arabica</v>
      </c>
      <c r="O414" t="str" cm="1">
        <f t="array" ref="O414">_xlfn.SWITCH(J414,
"M","Medium",
"L","Light",
"D","Dark",
"")</f>
        <v>Medium</v>
      </c>
      <c r="P414" t="str">
        <f>_xlfn.XLOOKUP(Orders[[#This Row],[Customer ID]],customers!$A$1:$A$1001,customers!$I$1:$I$1001,,0)</f>
        <v>Yes</v>
      </c>
    </row>
    <row r="415" spans="1:16" x14ac:dyDescent="0.35">
      <c r="A415" s="2" t="s">
        <v>2818</v>
      </c>
      <c r="B415" s="4">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_xlfn.XLOOKUP(D415,products!$A$1:$A$49,products!$B$1:$B$49,,0)</f>
        <v>Lib</v>
      </c>
      <c r="J415" t="str">
        <f>_xlfn.XLOOKUP(D415,products!$A$1:$A$49,products!$C$1:$C$49,,0)</f>
        <v>L</v>
      </c>
      <c r="K415" s="7">
        <f>_xlfn.XLOOKUP(D415,products!$A$1:$A$49,products!$D$1:$D$49,,0)</f>
        <v>2.5</v>
      </c>
      <c r="L415" s="9">
        <f>_xlfn.XLOOKUP(D415,products!$A$1:$A$49,products!$E$1:$E$49,,0)</f>
        <v>36.454999999999998</v>
      </c>
      <c r="M415" s="9">
        <f t="shared" si="6"/>
        <v>36.454999999999998</v>
      </c>
      <c r="N415" s="3" t="str" cm="1">
        <f t="array" ref="N415">_xlfn.SWITCH(I415,
"Rob","Robusta",
"Exc","Excelsa",
"Ara","Arabica",
"Lib","Liberica",
"")</f>
        <v>Liberica</v>
      </c>
      <c r="O415" t="str" cm="1">
        <f t="array" ref="O415">_xlfn.SWITCH(J415,
"M","Medium",
"L","Light",
"D","Dark",
"")</f>
        <v>Light</v>
      </c>
      <c r="P415" t="str">
        <f>_xlfn.XLOOKUP(Orders[[#This Row],[Customer ID]],customers!$A$1:$A$1001,customers!$I$1:$I$1001,,0)</f>
        <v>Yes</v>
      </c>
    </row>
    <row r="416" spans="1:16" x14ac:dyDescent="0.35">
      <c r="A416" s="2" t="s">
        <v>2824</v>
      </c>
      <c r="B416" s="4">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_xlfn.XLOOKUP(D416,products!$A$1:$A$49,products!$B$1:$B$49,,0)</f>
        <v>Rob</v>
      </c>
      <c r="J416" t="str">
        <f>_xlfn.XLOOKUP(D416,products!$A$1:$A$49,products!$C$1:$C$49,,0)</f>
        <v>L</v>
      </c>
      <c r="K416" s="7">
        <f>_xlfn.XLOOKUP(D416,products!$A$1:$A$49,products!$D$1:$D$49,,0)</f>
        <v>0.2</v>
      </c>
      <c r="L416" s="9">
        <f>_xlfn.XLOOKUP(D416,products!$A$1:$A$49,products!$E$1:$E$49,,0)</f>
        <v>3.5849999999999995</v>
      </c>
      <c r="M416" s="9">
        <f t="shared" si="6"/>
        <v>10.754999999999999</v>
      </c>
      <c r="N416" s="3" t="str" cm="1">
        <f t="array" ref="N416">_xlfn.SWITCH(I416,
"Rob","Robusta",
"Exc","Excelsa",
"Ara","Arabica",
"Lib","Liberica",
"")</f>
        <v>Robusta</v>
      </c>
      <c r="O416" t="str" cm="1">
        <f t="array" ref="O416">_xlfn.SWITCH(J416,
"M","Medium",
"L","Light",
"D","Dark",
"")</f>
        <v>Light</v>
      </c>
      <c r="P416" t="str">
        <f>_xlfn.XLOOKUP(Orders[[#This Row],[Customer ID]],customers!$A$1:$A$1001,customers!$I$1:$I$1001,,0)</f>
        <v>Yes</v>
      </c>
    </row>
    <row r="417" spans="1:16" x14ac:dyDescent="0.35">
      <c r="A417" s="2" t="s">
        <v>2829</v>
      </c>
      <c r="B417" s="4">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_xlfn.XLOOKUP(D417,products!$A$1:$A$49,products!$B$1:$B$49,,0)</f>
        <v>Rob</v>
      </c>
      <c r="J417" t="str">
        <f>_xlfn.XLOOKUP(D417,products!$A$1:$A$49,products!$C$1:$C$49,,0)</f>
        <v>M</v>
      </c>
      <c r="K417" s="7">
        <f>_xlfn.XLOOKUP(D417,products!$A$1:$A$49,products!$D$1:$D$49,,0)</f>
        <v>0.2</v>
      </c>
      <c r="L417" s="9">
        <f>_xlfn.XLOOKUP(D417,products!$A$1:$A$49,products!$E$1:$E$49,,0)</f>
        <v>2.9849999999999999</v>
      </c>
      <c r="M417" s="9">
        <f t="shared" si="6"/>
        <v>8.9550000000000001</v>
      </c>
      <c r="N417" s="3" t="str" cm="1">
        <f t="array" ref="N417">_xlfn.SWITCH(I417,
"Rob","Robusta",
"Exc","Excelsa",
"Ara","Arabica",
"Lib","Liberica",
"")</f>
        <v>Robusta</v>
      </c>
      <c r="O417" t="str" cm="1">
        <f t="array" ref="O417">_xlfn.SWITCH(J417,
"M","Medium",
"L","Light",
"D","Dark",
"")</f>
        <v>Medium</v>
      </c>
      <c r="P417" t="str">
        <f>_xlfn.XLOOKUP(Orders[[#This Row],[Customer ID]],customers!$A$1:$A$1001,customers!$I$1:$I$1001,,0)</f>
        <v>No</v>
      </c>
    </row>
    <row r="418" spans="1:16" x14ac:dyDescent="0.35">
      <c r="A418" s="2" t="s">
        <v>2834</v>
      </c>
      <c r="B418" s="4">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_xlfn.XLOOKUP(D418,products!$A$1:$A$49,products!$B$1:$B$49,,0)</f>
        <v>Ara</v>
      </c>
      <c r="J418" t="str">
        <f>_xlfn.XLOOKUP(D418,products!$A$1:$A$49,products!$C$1:$C$49,,0)</f>
        <v>L</v>
      </c>
      <c r="K418" s="7">
        <f>_xlfn.XLOOKUP(D418,products!$A$1:$A$49,products!$D$1:$D$49,,0)</f>
        <v>0.5</v>
      </c>
      <c r="L418" s="9">
        <f>_xlfn.XLOOKUP(D418,products!$A$1:$A$49,products!$E$1:$E$49,,0)</f>
        <v>7.77</v>
      </c>
      <c r="M418" s="9">
        <f t="shared" si="6"/>
        <v>23.31</v>
      </c>
      <c r="N418" s="3" t="str" cm="1">
        <f t="array" ref="N418">_xlfn.SWITCH(I418,
"Rob","Robusta",
"Exc","Excelsa",
"Ara","Arabica",
"Lib","Liberica",
"")</f>
        <v>Arabica</v>
      </c>
      <c r="O418" t="str" cm="1">
        <f t="array" ref="O418">_xlfn.SWITCH(J418,
"M","Medium",
"L","Light",
"D","Dark",
"")</f>
        <v>Light</v>
      </c>
      <c r="P418" t="str">
        <f>_xlfn.XLOOKUP(Orders[[#This Row],[Customer ID]],customers!$A$1:$A$1001,customers!$I$1:$I$1001,,0)</f>
        <v>Yes</v>
      </c>
    </row>
    <row r="419" spans="1:16" x14ac:dyDescent="0.35">
      <c r="A419" s="2" t="s">
        <v>2839</v>
      </c>
      <c r="B419" s="4">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_xlfn.XLOOKUP(D419,products!$A$1:$A$49,products!$B$1:$B$49,,0)</f>
        <v>Ara</v>
      </c>
      <c r="J419" t="str">
        <f>_xlfn.XLOOKUP(D419,products!$A$1:$A$49,products!$C$1:$C$49,,0)</f>
        <v>L</v>
      </c>
      <c r="K419" s="7">
        <f>_xlfn.XLOOKUP(D419,products!$A$1:$A$49,products!$D$1:$D$49,,0)</f>
        <v>2.5</v>
      </c>
      <c r="L419" s="9">
        <f>_xlfn.XLOOKUP(D419,products!$A$1:$A$49,products!$E$1:$E$49,,0)</f>
        <v>29.784999999999997</v>
      </c>
      <c r="M419" s="9">
        <f t="shared" si="6"/>
        <v>29.784999999999997</v>
      </c>
      <c r="N419" s="3" t="str" cm="1">
        <f t="array" ref="N419">_xlfn.SWITCH(I419,
"Rob","Robusta",
"Exc","Excelsa",
"Ara","Arabica",
"Lib","Liberica",
"")</f>
        <v>Arabica</v>
      </c>
      <c r="O419" t="str" cm="1">
        <f t="array" ref="O419">_xlfn.SWITCH(J419,
"M","Medium",
"L","Light",
"D","Dark",
"")</f>
        <v>Light</v>
      </c>
      <c r="P419" t="str">
        <f>_xlfn.XLOOKUP(Orders[[#This Row],[Customer ID]],customers!$A$1:$A$1001,customers!$I$1:$I$1001,,0)</f>
        <v>Yes</v>
      </c>
    </row>
    <row r="420" spans="1:16" x14ac:dyDescent="0.35">
      <c r="A420" s="2" t="s">
        <v>2844</v>
      </c>
      <c r="B420" s="4">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_xlfn.XLOOKUP(D420,products!$A$1:$A$49,products!$B$1:$B$49,,0)</f>
        <v>Ara</v>
      </c>
      <c r="J420" t="str">
        <f>_xlfn.XLOOKUP(D420,products!$A$1:$A$49,products!$C$1:$C$49,,0)</f>
        <v>L</v>
      </c>
      <c r="K420" s="7">
        <f>_xlfn.XLOOKUP(D420,products!$A$1:$A$49,products!$D$1:$D$49,,0)</f>
        <v>2.5</v>
      </c>
      <c r="L420" s="9">
        <f>_xlfn.XLOOKUP(D420,products!$A$1:$A$49,products!$E$1:$E$49,,0)</f>
        <v>29.784999999999997</v>
      </c>
      <c r="M420" s="9">
        <f t="shared" si="6"/>
        <v>148.92499999999998</v>
      </c>
      <c r="N420" s="3" t="str" cm="1">
        <f t="array" ref="N420">_xlfn.SWITCH(I420,
"Rob","Robusta",
"Exc","Excelsa",
"Ara","Arabica",
"Lib","Liberica",
"")</f>
        <v>Arabica</v>
      </c>
      <c r="O420" t="str" cm="1">
        <f t="array" ref="O420">_xlfn.SWITCH(J420,
"M","Medium",
"L","Light",
"D","Dark",
"")</f>
        <v>Light</v>
      </c>
      <c r="P420" t="str">
        <f>_xlfn.XLOOKUP(Orders[[#This Row],[Customer ID]],customers!$A$1:$A$1001,customers!$I$1:$I$1001,,0)</f>
        <v>Yes</v>
      </c>
    </row>
    <row r="421" spans="1:16" x14ac:dyDescent="0.35">
      <c r="A421" s="2" t="s">
        <v>2849</v>
      </c>
      <c r="B421" s="4">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_xlfn.XLOOKUP(D421,products!$A$1:$A$49,products!$B$1:$B$49,,0)</f>
        <v>Lib</v>
      </c>
      <c r="J421" t="str">
        <f>_xlfn.XLOOKUP(D421,products!$A$1:$A$49,products!$C$1:$C$49,,0)</f>
        <v>M</v>
      </c>
      <c r="K421" s="7">
        <f>_xlfn.XLOOKUP(D421,products!$A$1:$A$49,products!$D$1:$D$49,,0)</f>
        <v>0.5</v>
      </c>
      <c r="L421" s="9">
        <f>_xlfn.XLOOKUP(D421,products!$A$1:$A$49,products!$E$1:$E$49,,0)</f>
        <v>8.73</v>
      </c>
      <c r="M421" s="9">
        <f t="shared" si="6"/>
        <v>8.73</v>
      </c>
      <c r="N421" s="3" t="str" cm="1">
        <f t="array" ref="N421">_xlfn.SWITCH(I421,
"Rob","Robusta",
"Exc","Excelsa",
"Ara","Arabica",
"Lib","Liberica",
"")</f>
        <v>Liberica</v>
      </c>
      <c r="O421" t="str" cm="1">
        <f t="array" ref="O421">_xlfn.SWITCH(J421,
"M","Medium",
"L","Light",
"D","Dark",
"")</f>
        <v>Medium</v>
      </c>
      <c r="P421" t="str">
        <f>_xlfn.XLOOKUP(Orders[[#This Row],[Customer ID]],customers!$A$1:$A$1001,customers!$I$1:$I$1001,,0)</f>
        <v>Yes</v>
      </c>
    </row>
    <row r="422" spans="1:16" x14ac:dyDescent="0.35">
      <c r="A422" s="2" t="s">
        <v>2855</v>
      </c>
      <c r="B422" s="4">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_xlfn.XLOOKUP(D422,products!$A$1:$A$49,products!$B$1:$B$49,,0)</f>
        <v>Lib</v>
      </c>
      <c r="J422" t="str">
        <f>_xlfn.XLOOKUP(D422,products!$A$1:$A$49,products!$C$1:$C$49,,0)</f>
        <v>D</v>
      </c>
      <c r="K422" s="7">
        <f>_xlfn.XLOOKUP(D422,products!$A$1:$A$49,products!$D$1:$D$49,,0)</f>
        <v>0.5</v>
      </c>
      <c r="L422" s="9">
        <f>_xlfn.XLOOKUP(D422,products!$A$1:$A$49,products!$E$1:$E$49,,0)</f>
        <v>7.77</v>
      </c>
      <c r="M422" s="9">
        <f t="shared" si="6"/>
        <v>31.08</v>
      </c>
      <c r="N422" s="3" t="str" cm="1">
        <f t="array" ref="N422">_xlfn.SWITCH(I422,
"Rob","Robusta",
"Exc","Excelsa",
"Ara","Arabica",
"Lib","Liberica",
"")</f>
        <v>Liberica</v>
      </c>
      <c r="O422" t="str" cm="1">
        <f t="array" ref="O422">_xlfn.SWITCH(J422,
"M","Medium",
"L","Light",
"D","Dark",
"")</f>
        <v>Dark</v>
      </c>
      <c r="P422" t="str">
        <f>_xlfn.XLOOKUP(Orders[[#This Row],[Customer ID]],customers!$A$1:$A$1001,customers!$I$1:$I$1001,,0)</f>
        <v>No</v>
      </c>
    </row>
    <row r="423" spans="1:16" x14ac:dyDescent="0.35">
      <c r="A423" s="2" t="s">
        <v>2855</v>
      </c>
      <c r="B423" s="4">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_xlfn.XLOOKUP(D423,products!$A$1:$A$49,products!$B$1:$B$49,,0)</f>
        <v>Ara</v>
      </c>
      <c r="J423" t="str">
        <f>_xlfn.XLOOKUP(D423,products!$A$1:$A$49,products!$C$1:$C$49,,0)</f>
        <v>D</v>
      </c>
      <c r="K423" s="7">
        <f>_xlfn.XLOOKUP(D423,products!$A$1:$A$49,products!$D$1:$D$49,,0)</f>
        <v>2.5</v>
      </c>
      <c r="L423" s="9">
        <f>_xlfn.XLOOKUP(D423,products!$A$1:$A$49,products!$E$1:$E$49,,0)</f>
        <v>22.884999999999998</v>
      </c>
      <c r="M423" s="9">
        <f t="shared" si="6"/>
        <v>137.31</v>
      </c>
      <c r="N423" s="3" t="str" cm="1">
        <f t="array" ref="N423">_xlfn.SWITCH(I423,
"Rob","Robusta",
"Exc","Excelsa",
"Ara","Arabica",
"Lib","Liberica",
"")</f>
        <v>Arabica</v>
      </c>
      <c r="O423" t="str" cm="1">
        <f t="array" ref="O423">_xlfn.SWITCH(J423,
"M","Medium",
"L","Light",
"D","Dark",
"")</f>
        <v>Dark</v>
      </c>
      <c r="P423" t="str">
        <f>_xlfn.XLOOKUP(Orders[[#This Row],[Customer ID]],customers!$A$1:$A$1001,customers!$I$1:$I$1001,,0)</f>
        <v>No</v>
      </c>
    </row>
    <row r="424" spans="1:16" x14ac:dyDescent="0.35">
      <c r="A424" s="2" t="s">
        <v>2866</v>
      </c>
      <c r="B424" s="4">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_xlfn.XLOOKUP(D424,products!$A$1:$A$49,products!$B$1:$B$49,,0)</f>
        <v>Ara</v>
      </c>
      <c r="J424" t="str">
        <f>_xlfn.XLOOKUP(D424,products!$A$1:$A$49,products!$C$1:$C$49,,0)</f>
        <v>D</v>
      </c>
      <c r="K424" s="7">
        <f>_xlfn.XLOOKUP(D424,products!$A$1:$A$49,products!$D$1:$D$49,,0)</f>
        <v>0.5</v>
      </c>
      <c r="L424" s="9">
        <f>_xlfn.XLOOKUP(D424,products!$A$1:$A$49,products!$E$1:$E$49,,0)</f>
        <v>5.97</v>
      </c>
      <c r="M424" s="9">
        <f t="shared" si="6"/>
        <v>29.849999999999998</v>
      </c>
      <c r="N424" s="3" t="str" cm="1">
        <f t="array" ref="N424">_xlfn.SWITCH(I424,
"Rob","Robusta",
"Exc","Excelsa",
"Ara","Arabica",
"Lib","Liberica",
"")</f>
        <v>Arabica</v>
      </c>
      <c r="O424" t="str" cm="1">
        <f t="array" ref="O424">_xlfn.SWITCH(J424,
"M","Medium",
"L","Light",
"D","Dark",
"")</f>
        <v>Dark</v>
      </c>
      <c r="P424" t="str">
        <f>_xlfn.XLOOKUP(Orders[[#This Row],[Customer ID]],customers!$A$1:$A$1001,customers!$I$1:$I$1001,,0)</f>
        <v>No</v>
      </c>
    </row>
    <row r="425" spans="1:16" x14ac:dyDescent="0.35">
      <c r="A425" s="2" t="s">
        <v>2871</v>
      </c>
      <c r="B425" s="4">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_xlfn.XLOOKUP(D425,products!$A$1:$A$49,products!$B$1:$B$49,,0)</f>
        <v>Rob</v>
      </c>
      <c r="J425" t="str">
        <f>_xlfn.XLOOKUP(D425,products!$A$1:$A$49,products!$C$1:$C$49,,0)</f>
        <v>M</v>
      </c>
      <c r="K425" s="7">
        <f>_xlfn.XLOOKUP(D425,products!$A$1:$A$49,products!$D$1:$D$49,,0)</f>
        <v>0.5</v>
      </c>
      <c r="L425" s="9">
        <f>_xlfn.XLOOKUP(D425,products!$A$1:$A$49,products!$E$1:$E$49,,0)</f>
        <v>5.97</v>
      </c>
      <c r="M425" s="9">
        <f t="shared" si="6"/>
        <v>17.91</v>
      </c>
      <c r="N425" s="3" t="str" cm="1">
        <f t="array" ref="N425">_xlfn.SWITCH(I425,
"Rob","Robusta",
"Exc","Excelsa",
"Ara","Arabica",
"Lib","Liberica",
"")</f>
        <v>Robusta</v>
      </c>
      <c r="O425" t="str" cm="1">
        <f t="array" ref="O425">_xlfn.SWITCH(J425,
"M","Medium",
"L","Light",
"D","Dark",
"")</f>
        <v>Medium</v>
      </c>
      <c r="P425" t="str">
        <f>_xlfn.XLOOKUP(Orders[[#This Row],[Customer ID]],customers!$A$1:$A$1001,customers!$I$1:$I$1001,,0)</f>
        <v>No</v>
      </c>
    </row>
    <row r="426" spans="1:16" x14ac:dyDescent="0.35">
      <c r="A426" s="2" t="s">
        <v>2876</v>
      </c>
      <c r="B426" s="4">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_xlfn.XLOOKUP(D426,products!$A$1:$A$49,products!$B$1:$B$49,,0)</f>
        <v>Exc</v>
      </c>
      <c r="J426" t="str">
        <f>_xlfn.XLOOKUP(D426,products!$A$1:$A$49,products!$C$1:$C$49,,0)</f>
        <v>L</v>
      </c>
      <c r="K426" s="7">
        <f>_xlfn.XLOOKUP(D426,products!$A$1:$A$49,products!$D$1:$D$49,,0)</f>
        <v>0.5</v>
      </c>
      <c r="L426" s="9">
        <f>_xlfn.XLOOKUP(D426,products!$A$1:$A$49,products!$E$1:$E$49,,0)</f>
        <v>8.91</v>
      </c>
      <c r="M426" s="9">
        <f t="shared" si="6"/>
        <v>26.73</v>
      </c>
      <c r="N426" s="3" t="str" cm="1">
        <f t="array" ref="N426">_xlfn.SWITCH(I426,
"Rob","Robusta",
"Exc","Excelsa",
"Ara","Arabica",
"Lib","Liberica",
"")</f>
        <v>Excelsa</v>
      </c>
      <c r="O426" t="str" cm="1">
        <f t="array" ref="O426">_xlfn.SWITCH(J426,
"M","Medium",
"L","Light",
"D","Dark",
"")</f>
        <v>Light</v>
      </c>
      <c r="P426" t="str">
        <f>_xlfn.XLOOKUP(Orders[[#This Row],[Customer ID]],customers!$A$1:$A$1001,customers!$I$1:$I$1001,,0)</f>
        <v>Yes</v>
      </c>
    </row>
    <row r="427" spans="1:16" x14ac:dyDescent="0.35">
      <c r="A427" s="2" t="s">
        <v>2882</v>
      </c>
      <c r="B427" s="4">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_xlfn.XLOOKUP(D427,products!$A$1:$A$49,products!$B$1:$B$49,,0)</f>
        <v>Rob</v>
      </c>
      <c r="J427" t="str">
        <f>_xlfn.XLOOKUP(D427,products!$A$1:$A$49,products!$C$1:$C$49,,0)</f>
        <v>D</v>
      </c>
      <c r="K427" s="7">
        <f>_xlfn.XLOOKUP(D427,products!$A$1:$A$49,products!$D$1:$D$49,,0)</f>
        <v>1</v>
      </c>
      <c r="L427" s="9">
        <f>_xlfn.XLOOKUP(D427,products!$A$1:$A$49,products!$E$1:$E$49,,0)</f>
        <v>8.9499999999999993</v>
      </c>
      <c r="M427" s="9">
        <f t="shared" si="6"/>
        <v>17.899999999999999</v>
      </c>
      <c r="N427" s="3" t="str" cm="1">
        <f t="array" ref="N427">_xlfn.SWITCH(I427,
"Rob","Robusta",
"Exc","Excelsa",
"Ara","Arabica",
"Lib","Liberica",
"")</f>
        <v>Robusta</v>
      </c>
      <c r="O427" t="str" cm="1">
        <f t="array" ref="O427">_xlfn.SWITCH(J427,
"M","Medium",
"L","Light",
"D","Dark",
"")</f>
        <v>Dark</v>
      </c>
      <c r="P427" t="str">
        <f>_xlfn.XLOOKUP(Orders[[#This Row],[Customer ID]],customers!$A$1:$A$1001,customers!$I$1:$I$1001,,0)</f>
        <v>No</v>
      </c>
    </row>
    <row r="428" spans="1:16" x14ac:dyDescent="0.35">
      <c r="A428" s="2" t="s">
        <v>2888</v>
      </c>
      <c r="B428" s="4">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_xlfn.XLOOKUP(D428,products!$A$1:$A$49,products!$B$1:$B$49,,0)</f>
        <v>Rob</v>
      </c>
      <c r="J428" t="str">
        <f>_xlfn.XLOOKUP(D428,products!$A$1:$A$49,products!$C$1:$C$49,,0)</f>
        <v>L</v>
      </c>
      <c r="K428" s="7">
        <f>_xlfn.XLOOKUP(D428,products!$A$1:$A$49,products!$D$1:$D$49,,0)</f>
        <v>0.2</v>
      </c>
      <c r="L428" s="9">
        <f>_xlfn.XLOOKUP(D428,products!$A$1:$A$49,products!$E$1:$E$49,,0)</f>
        <v>3.5849999999999995</v>
      </c>
      <c r="M428" s="9">
        <f t="shared" si="6"/>
        <v>14.339999999999998</v>
      </c>
      <c r="N428" s="3" t="str" cm="1">
        <f t="array" ref="N428">_xlfn.SWITCH(I428,
"Rob","Robusta",
"Exc","Excelsa",
"Ara","Arabica",
"Lib","Liberica",
"")</f>
        <v>Robusta</v>
      </c>
      <c r="O428" t="str" cm="1">
        <f t="array" ref="O428">_xlfn.SWITCH(J428,
"M","Medium",
"L","Light",
"D","Dark",
"")</f>
        <v>Light</v>
      </c>
      <c r="P428" t="str">
        <f>_xlfn.XLOOKUP(Orders[[#This Row],[Customer ID]],customers!$A$1:$A$1001,customers!$I$1:$I$1001,,0)</f>
        <v>Yes</v>
      </c>
    </row>
    <row r="429" spans="1:16" x14ac:dyDescent="0.35">
      <c r="A429" s="2" t="s">
        <v>2894</v>
      </c>
      <c r="B429" s="4">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_xlfn.XLOOKUP(D429,products!$A$1:$A$49,products!$B$1:$B$49,,0)</f>
        <v>Ara</v>
      </c>
      <c r="J429" t="str">
        <f>_xlfn.XLOOKUP(D429,products!$A$1:$A$49,products!$C$1:$C$49,,0)</f>
        <v>M</v>
      </c>
      <c r="K429" s="7">
        <f>_xlfn.XLOOKUP(D429,products!$A$1:$A$49,products!$D$1:$D$49,,0)</f>
        <v>2.5</v>
      </c>
      <c r="L429" s="9">
        <f>_xlfn.XLOOKUP(D429,products!$A$1:$A$49,products!$E$1:$E$49,,0)</f>
        <v>25.874999999999996</v>
      </c>
      <c r="M429" s="9">
        <f t="shared" si="6"/>
        <v>77.624999999999986</v>
      </c>
      <c r="N429" s="3" t="str" cm="1">
        <f t="array" ref="N429">_xlfn.SWITCH(I429,
"Rob","Robusta",
"Exc","Excelsa",
"Ara","Arabica",
"Lib","Liberica",
"")</f>
        <v>Arabica</v>
      </c>
      <c r="O429" t="str" cm="1">
        <f t="array" ref="O429">_xlfn.SWITCH(J429,
"M","Medium",
"L","Light",
"D","Dark",
"")</f>
        <v>Medium</v>
      </c>
      <c r="P429" t="str">
        <f>_xlfn.XLOOKUP(Orders[[#This Row],[Customer ID]],customers!$A$1:$A$1001,customers!$I$1:$I$1001,,0)</f>
        <v>Yes</v>
      </c>
    </row>
    <row r="430" spans="1:16" x14ac:dyDescent="0.35">
      <c r="A430" s="2" t="s">
        <v>2899</v>
      </c>
      <c r="B430" s="4">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_xlfn.XLOOKUP(D430,products!$A$1:$A$49,products!$B$1:$B$49,,0)</f>
        <v>Rob</v>
      </c>
      <c r="J430" t="str">
        <f>_xlfn.XLOOKUP(D430,products!$A$1:$A$49,products!$C$1:$C$49,,0)</f>
        <v>L</v>
      </c>
      <c r="K430" s="7">
        <f>_xlfn.XLOOKUP(D430,products!$A$1:$A$49,products!$D$1:$D$49,,0)</f>
        <v>1</v>
      </c>
      <c r="L430" s="9">
        <f>_xlfn.XLOOKUP(D430,products!$A$1:$A$49,products!$E$1:$E$49,,0)</f>
        <v>11.95</v>
      </c>
      <c r="M430" s="9">
        <f t="shared" si="6"/>
        <v>59.75</v>
      </c>
      <c r="N430" s="3" t="str" cm="1">
        <f t="array" ref="N430">_xlfn.SWITCH(I430,
"Rob","Robusta",
"Exc","Excelsa",
"Ara","Arabica",
"Lib","Liberica",
"")</f>
        <v>Robusta</v>
      </c>
      <c r="O430" t="str" cm="1">
        <f t="array" ref="O430">_xlfn.SWITCH(J430,
"M","Medium",
"L","Light",
"D","Dark",
"")</f>
        <v>Light</v>
      </c>
      <c r="P430" t="str">
        <f>_xlfn.XLOOKUP(Orders[[#This Row],[Customer ID]],customers!$A$1:$A$1001,customers!$I$1:$I$1001,,0)</f>
        <v>No</v>
      </c>
    </row>
    <row r="431" spans="1:16" x14ac:dyDescent="0.35">
      <c r="A431" s="2" t="s">
        <v>2905</v>
      </c>
      <c r="B431" s="4">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_xlfn.XLOOKUP(D431,products!$A$1:$A$49,products!$B$1:$B$49,,0)</f>
        <v>Ara</v>
      </c>
      <c r="J431" t="str">
        <f>_xlfn.XLOOKUP(D431,products!$A$1:$A$49,products!$C$1:$C$49,,0)</f>
        <v>L</v>
      </c>
      <c r="K431" s="7">
        <f>_xlfn.XLOOKUP(D431,products!$A$1:$A$49,products!$D$1:$D$49,,0)</f>
        <v>1</v>
      </c>
      <c r="L431" s="9">
        <f>_xlfn.XLOOKUP(D431,products!$A$1:$A$49,products!$E$1:$E$49,,0)</f>
        <v>12.95</v>
      </c>
      <c r="M431" s="9">
        <f t="shared" si="6"/>
        <v>77.699999999999989</v>
      </c>
      <c r="N431" s="3" t="str" cm="1">
        <f t="array" ref="N431">_xlfn.SWITCH(I431,
"Rob","Robusta",
"Exc","Excelsa",
"Ara","Arabica",
"Lib","Liberica",
"")</f>
        <v>Arabica</v>
      </c>
      <c r="O431" t="str" cm="1">
        <f t="array" ref="O431">_xlfn.SWITCH(J431,
"M","Medium",
"L","Light",
"D","Dark",
"")</f>
        <v>Light</v>
      </c>
      <c r="P431" t="str">
        <f>_xlfn.XLOOKUP(Orders[[#This Row],[Customer ID]],customers!$A$1:$A$1001,customers!$I$1:$I$1001,,0)</f>
        <v>No</v>
      </c>
    </row>
    <row r="432" spans="1:16" x14ac:dyDescent="0.35">
      <c r="A432" s="2" t="s">
        <v>2911</v>
      </c>
      <c r="B432" s="4">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_xlfn.XLOOKUP(D432,products!$A$1:$A$49,products!$B$1:$B$49,,0)</f>
        <v>Rob</v>
      </c>
      <c r="J432" t="str">
        <f>_xlfn.XLOOKUP(D432,products!$A$1:$A$49,products!$C$1:$C$49,,0)</f>
        <v>D</v>
      </c>
      <c r="K432" s="7">
        <f>_xlfn.XLOOKUP(D432,products!$A$1:$A$49,products!$D$1:$D$49,,0)</f>
        <v>0.2</v>
      </c>
      <c r="L432" s="9">
        <f>_xlfn.XLOOKUP(D432,products!$A$1:$A$49,products!$E$1:$E$49,,0)</f>
        <v>2.6849999999999996</v>
      </c>
      <c r="M432" s="9">
        <f t="shared" si="6"/>
        <v>5.3699999999999992</v>
      </c>
      <c r="N432" s="3" t="str" cm="1">
        <f t="array" ref="N432">_xlfn.SWITCH(I432,
"Rob","Robusta",
"Exc","Excelsa",
"Ara","Arabica",
"Lib","Liberica",
"")</f>
        <v>Robusta</v>
      </c>
      <c r="O432" t="str" cm="1">
        <f t="array" ref="O432">_xlfn.SWITCH(J432,
"M","Medium",
"L","Light",
"D","Dark",
"")</f>
        <v>Dark</v>
      </c>
      <c r="P432" t="str">
        <f>_xlfn.XLOOKUP(Orders[[#This Row],[Customer ID]],customers!$A$1:$A$1001,customers!$I$1:$I$1001,,0)</f>
        <v>Yes</v>
      </c>
    </row>
    <row r="433" spans="1:16" x14ac:dyDescent="0.35">
      <c r="A433" s="2" t="s">
        <v>2917</v>
      </c>
      <c r="B433" s="4">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_xlfn.XLOOKUP(D433,products!$A$1:$A$49,products!$B$1:$B$49,,0)</f>
        <v>Exc</v>
      </c>
      <c r="J433" t="str">
        <f>_xlfn.XLOOKUP(D433,products!$A$1:$A$49,products!$C$1:$C$49,,0)</f>
        <v>D</v>
      </c>
      <c r="K433" s="7">
        <f>_xlfn.XLOOKUP(D433,products!$A$1:$A$49,products!$D$1:$D$49,,0)</f>
        <v>2.5</v>
      </c>
      <c r="L433" s="9">
        <f>_xlfn.XLOOKUP(D433,products!$A$1:$A$49,products!$E$1:$E$49,,0)</f>
        <v>27.945</v>
      </c>
      <c r="M433" s="9">
        <f t="shared" si="6"/>
        <v>83.835000000000008</v>
      </c>
      <c r="N433" s="3" t="str" cm="1">
        <f t="array" ref="N433">_xlfn.SWITCH(I433,
"Rob","Robusta",
"Exc","Excelsa",
"Ara","Arabica",
"Lib","Liberica",
"")</f>
        <v>Excelsa</v>
      </c>
      <c r="O433" t="str" cm="1">
        <f t="array" ref="O433">_xlfn.SWITCH(J433,
"M","Medium",
"L","Light",
"D","Dark",
"")</f>
        <v>Dark</v>
      </c>
      <c r="P433" t="str">
        <f>_xlfn.XLOOKUP(Orders[[#This Row],[Customer ID]],customers!$A$1:$A$1001,customers!$I$1:$I$1001,,0)</f>
        <v>Yes</v>
      </c>
    </row>
    <row r="434" spans="1:16" x14ac:dyDescent="0.35">
      <c r="A434" s="2" t="s">
        <v>2923</v>
      </c>
      <c r="B434" s="4">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_xlfn.XLOOKUP(D434,products!$A$1:$A$49,products!$B$1:$B$49,,0)</f>
        <v>Ara</v>
      </c>
      <c r="J434" t="str">
        <f>_xlfn.XLOOKUP(D434,products!$A$1:$A$49,products!$C$1:$C$49,,0)</f>
        <v>M</v>
      </c>
      <c r="K434" s="7">
        <f>_xlfn.XLOOKUP(D434,products!$A$1:$A$49,products!$D$1:$D$49,,0)</f>
        <v>1</v>
      </c>
      <c r="L434" s="9">
        <f>_xlfn.XLOOKUP(D434,products!$A$1:$A$49,products!$E$1:$E$49,,0)</f>
        <v>11.25</v>
      </c>
      <c r="M434" s="9">
        <f t="shared" si="6"/>
        <v>22.5</v>
      </c>
      <c r="N434" s="3" t="str" cm="1">
        <f t="array" ref="N434">_xlfn.SWITCH(I434,
"Rob","Robusta",
"Exc","Excelsa",
"Ara","Arabica",
"Lib","Liberica",
"")</f>
        <v>Arabica</v>
      </c>
      <c r="O434" t="str" cm="1">
        <f t="array" ref="O434">_xlfn.SWITCH(J434,
"M","Medium",
"L","Light",
"D","Dark",
"")</f>
        <v>Medium</v>
      </c>
      <c r="P434" t="str">
        <f>_xlfn.XLOOKUP(Orders[[#This Row],[Customer ID]],customers!$A$1:$A$1001,customers!$I$1:$I$1001,,0)</f>
        <v>No</v>
      </c>
    </row>
    <row r="435" spans="1:16" x14ac:dyDescent="0.35">
      <c r="A435" s="2" t="s">
        <v>2928</v>
      </c>
      <c r="B435" s="4">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_xlfn.XLOOKUP(D435,products!$A$1:$A$49,products!$B$1:$B$49,,0)</f>
        <v>Lib</v>
      </c>
      <c r="J435" t="str">
        <f>_xlfn.XLOOKUP(D435,products!$A$1:$A$49,products!$C$1:$C$49,,0)</f>
        <v>M</v>
      </c>
      <c r="K435" s="7">
        <f>_xlfn.XLOOKUP(D435,products!$A$1:$A$49,products!$D$1:$D$49,,0)</f>
        <v>2.5</v>
      </c>
      <c r="L435" s="9">
        <f>_xlfn.XLOOKUP(D435,products!$A$1:$A$49,products!$E$1:$E$49,,0)</f>
        <v>33.464999999999996</v>
      </c>
      <c r="M435" s="9">
        <f t="shared" si="6"/>
        <v>200.78999999999996</v>
      </c>
      <c r="N435" s="3" t="str" cm="1">
        <f t="array" ref="N435">_xlfn.SWITCH(I435,
"Rob","Robusta",
"Exc","Excelsa",
"Ara","Arabica",
"Lib","Liberica",
"")</f>
        <v>Liberica</v>
      </c>
      <c r="O435" t="str" cm="1">
        <f t="array" ref="O435">_xlfn.SWITCH(J435,
"M","Medium",
"L","Light",
"D","Dark",
"")</f>
        <v>Medium</v>
      </c>
      <c r="P435" t="str">
        <f>_xlfn.XLOOKUP(Orders[[#This Row],[Customer ID]],customers!$A$1:$A$1001,customers!$I$1:$I$1001,,0)</f>
        <v>Yes</v>
      </c>
    </row>
    <row r="436" spans="1:16" x14ac:dyDescent="0.35">
      <c r="A436" s="2" t="s">
        <v>2934</v>
      </c>
      <c r="B436" s="4">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_xlfn.XLOOKUP(D436,products!$A$1:$A$49,products!$B$1:$B$49,,0)</f>
        <v>Ara</v>
      </c>
      <c r="J436" t="str">
        <f>_xlfn.XLOOKUP(D436,products!$A$1:$A$49,products!$C$1:$C$49,,0)</f>
        <v>M</v>
      </c>
      <c r="K436" s="7">
        <f>_xlfn.XLOOKUP(D436,products!$A$1:$A$49,products!$D$1:$D$49,,0)</f>
        <v>1</v>
      </c>
      <c r="L436" s="9">
        <f>_xlfn.XLOOKUP(D436,products!$A$1:$A$49,products!$E$1:$E$49,,0)</f>
        <v>11.25</v>
      </c>
      <c r="M436" s="9">
        <f t="shared" si="6"/>
        <v>67.5</v>
      </c>
      <c r="N436" s="3" t="str" cm="1">
        <f t="array" ref="N436">_xlfn.SWITCH(I436,
"Rob","Robusta",
"Exc","Excelsa",
"Ara","Arabica",
"Lib","Liberica",
"")</f>
        <v>Arabica</v>
      </c>
      <c r="O436" t="str" cm="1">
        <f t="array" ref="O436">_xlfn.SWITCH(J436,
"M","Medium",
"L","Light",
"D","Dark",
"")</f>
        <v>Medium</v>
      </c>
      <c r="P436" t="str">
        <f>_xlfn.XLOOKUP(Orders[[#This Row],[Customer ID]],customers!$A$1:$A$1001,customers!$I$1:$I$1001,,0)</f>
        <v>No</v>
      </c>
    </row>
    <row r="437" spans="1:16" x14ac:dyDescent="0.35">
      <c r="A437" s="2" t="s">
        <v>2939</v>
      </c>
      <c r="B437" s="4">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_xlfn.XLOOKUP(D437,products!$A$1:$A$49,products!$B$1:$B$49,,0)</f>
        <v>Exc</v>
      </c>
      <c r="J437" t="str">
        <f>_xlfn.XLOOKUP(D437,products!$A$1:$A$49,products!$C$1:$C$49,,0)</f>
        <v>M</v>
      </c>
      <c r="K437" s="7">
        <f>_xlfn.XLOOKUP(D437,products!$A$1:$A$49,products!$D$1:$D$49,,0)</f>
        <v>0.5</v>
      </c>
      <c r="L437" s="9">
        <f>_xlfn.XLOOKUP(D437,products!$A$1:$A$49,products!$E$1:$E$49,,0)</f>
        <v>8.25</v>
      </c>
      <c r="M437" s="9">
        <f t="shared" si="6"/>
        <v>8.25</v>
      </c>
      <c r="N437" s="3" t="str" cm="1">
        <f t="array" ref="N437">_xlfn.SWITCH(I437,
"Rob","Robusta",
"Exc","Excelsa",
"Ara","Arabica",
"Lib","Liberica",
"")</f>
        <v>Excelsa</v>
      </c>
      <c r="O437" t="str" cm="1">
        <f t="array" ref="O437">_xlfn.SWITCH(J437,
"M","Medium",
"L","Light",
"D","Dark",
"")</f>
        <v>Medium</v>
      </c>
      <c r="P437" t="str">
        <f>_xlfn.XLOOKUP(Orders[[#This Row],[Customer ID]],customers!$A$1:$A$1001,customers!$I$1:$I$1001,,0)</f>
        <v>No</v>
      </c>
    </row>
    <row r="438" spans="1:16" x14ac:dyDescent="0.35">
      <c r="A438" s="2" t="s">
        <v>2945</v>
      </c>
      <c r="B438" s="4">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_xlfn.XLOOKUP(D438,products!$A$1:$A$49,products!$B$1:$B$49,,0)</f>
        <v>Lib</v>
      </c>
      <c r="J438" t="str">
        <f>_xlfn.XLOOKUP(D438,products!$A$1:$A$49,products!$C$1:$C$49,,0)</f>
        <v>L</v>
      </c>
      <c r="K438" s="7">
        <f>_xlfn.XLOOKUP(D438,products!$A$1:$A$49,products!$D$1:$D$49,,0)</f>
        <v>0.2</v>
      </c>
      <c r="L438" s="9">
        <f>_xlfn.XLOOKUP(D438,products!$A$1:$A$49,products!$E$1:$E$49,,0)</f>
        <v>4.7549999999999999</v>
      </c>
      <c r="M438" s="9">
        <f t="shared" si="6"/>
        <v>9.51</v>
      </c>
      <c r="N438" s="3" t="str" cm="1">
        <f t="array" ref="N438">_xlfn.SWITCH(I438,
"Rob","Robusta",
"Exc","Excelsa",
"Ara","Arabica",
"Lib","Liberica",
"")</f>
        <v>Liberica</v>
      </c>
      <c r="O438" t="str" cm="1">
        <f t="array" ref="O438">_xlfn.SWITCH(J438,
"M","Medium",
"L","Light",
"D","Dark",
"")</f>
        <v>Light</v>
      </c>
      <c r="P438" t="str">
        <f>_xlfn.XLOOKUP(Orders[[#This Row],[Customer ID]],customers!$A$1:$A$1001,customers!$I$1:$I$1001,,0)</f>
        <v>Yes</v>
      </c>
    </row>
    <row r="439" spans="1:16" x14ac:dyDescent="0.35">
      <c r="A439" s="2" t="s">
        <v>2951</v>
      </c>
      <c r="B439" s="4">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_xlfn.XLOOKUP(D439,products!$A$1:$A$49,products!$B$1:$B$49,,0)</f>
        <v>Lib</v>
      </c>
      <c r="J439" t="str">
        <f>_xlfn.XLOOKUP(D439,products!$A$1:$A$49,products!$C$1:$C$49,,0)</f>
        <v>D</v>
      </c>
      <c r="K439" s="7">
        <f>_xlfn.XLOOKUP(D439,products!$A$1:$A$49,products!$D$1:$D$49,,0)</f>
        <v>2.5</v>
      </c>
      <c r="L439" s="9">
        <f>_xlfn.XLOOKUP(D439,products!$A$1:$A$49,products!$E$1:$E$49,,0)</f>
        <v>29.784999999999997</v>
      </c>
      <c r="M439" s="9">
        <f t="shared" si="6"/>
        <v>29.784999999999997</v>
      </c>
      <c r="N439" s="3" t="str" cm="1">
        <f t="array" ref="N439">_xlfn.SWITCH(I439,
"Rob","Robusta",
"Exc","Excelsa",
"Ara","Arabica",
"Lib","Liberica",
"")</f>
        <v>Liberica</v>
      </c>
      <c r="O439" t="str" cm="1">
        <f t="array" ref="O439">_xlfn.SWITCH(J439,
"M","Medium",
"L","Light",
"D","Dark",
"")</f>
        <v>Dark</v>
      </c>
      <c r="P439" t="str">
        <f>_xlfn.XLOOKUP(Orders[[#This Row],[Customer ID]],customers!$A$1:$A$1001,customers!$I$1:$I$1001,,0)</f>
        <v>No</v>
      </c>
    </row>
    <row r="440" spans="1:16" x14ac:dyDescent="0.35">
      <c r="A440" s="2" t="s">
        <v>2956</v>
      </c>
      <c r="B440" s="4">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_xlfn.XLOOKUP(D440,products!$A$1:$A$49,products!$B$1:$B$49,,0)</f>
        <v>Lib</v>
      </c>
      <c r="J440" t="str">
        <f>_xlfn.XLOOKUP(D440,products!$A$1:$A$49,products!$C$1:$C$49,,0)</f>
        <v>D</v>
      </c>
      <c r="K440" s="7">
        <f>_xlfn.XLOOKUP(D440,products!$A$1:$A$49,products!$D$1:$D$49,,0)</f>
        <v>0.5</v>
      </c>
      <c r="L440" s="9">
        <f>_xlfn.XLOOKUP(D440,products!$A$1:$A$49,products!$E$1:$E$49,,0)</f>
        <v>7.77</v>
      </c>
      <c r="M440" s="9">
        <f t="shared" si="6"/>
        <v>15.54</v>
      </c>
      <c r="N440" s="3" t="str" cm="1">
        <f t="array" ref="N440">_xlfn.SWITCH(I440,
"Rob","Robusta",
"Exc","Excelsa",
"Ara","Arabica",
"Lib","Liberica",
"")</f>
        <v>Liberica</v>
      </c>
      <c r="O440" t="str" cm="1">
        <f t="array" ref="O440">_xlfn.SWITCH(J440,
"M","Medium",
"L","Light",
"D","Dark",
"")</f>
        <v>Dark</v>
      </c>
      <c r="P440" t="str">
        <f>_xlfn.XLOOKUP(Orders[[#This Row],[Customer ID]],customers!$A$1:$A$1001,customers!$I$1:$I$1001,,0)</f>
        <v>No</v>
      </c>
    </row>
    <row r="441" spans="1:16" x14ac:dyDescent="0.35">
      <c r="A441" s="2" t="s">
        <v>2962</v>
      </c>
      <c r="B441" s="4">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_xlfn.XLOOKUP(D441,products!$A$1:$A$49,products!$B$1:$B$49,,0)</f>
        <v>Exc</v>
      </c>
      <c r="J441" t="str">
        <f>_xlfn.XLOOKUP(D441,products!$A$1:$A$49,products!$C$1:$C$49,,0)</f>
        <v>L</v>
      </c>
      <c r="K441" s="7">
        <f>_xlfn.XLOOKUP(D441,products!$A$1:$A$49,products!$D$1:$D$49,,0)</f>
        <v>0.5</v>
      </c>
      <c r="L441" s="9">
        <f>_xlfn.XLOOKUP(D441,products!$A$1:$A$49,products!$E$1:$E$49,,0)</f>
        <v>8.91</v>
      </c>
      <c r="M441" s="9">
        <f t="shared" si="6"/>
        <v>35.64</v>
      </c>
      <c r="N441" s="3" t="str" cm="1">
        <f t="array" ref="N441">_xlfn.SWITCH(I441,
"Rob","Robusta",
"Exc","Excelsa",
"Ara","Arabica",
"Lib","Liberica",
"")</f>
        <v>Excelsa</v>
      </c>
      <c r="O441" t="str" cm="1">
        <f t="array" ref="O441">_xlfn.SWITCH(J441,
"M","Medium",
"L","Light",
"D","Dark",
"")</f>
        <v>Light</v>
      </c>
      <c r="P441" t="str">
        <f>_xlfn.XLOOKUP(Orders[[#This Row],[Customer ID]],customers!$A$1:$A$1001,customers!$I$1:$I$1001,,0)</f>
        <v>No</v>
      </c>
    </row>
    <row r="442" spans="1:16" x14ac:dyDescent="0.35">
      <c r="A442" s="2" t="s">
        <v>2968</v>
      </c>
      <c r="B442" s="4">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_xlfn.XLOOKUP(D442,products!$A$1:$A$49,products!$B$1:$B$49,,0)</f>
        <v>Ara</v>
      </c>
      <c r="J442" t="str">
        <f>_xlfn.XLOOKUP(D442,products!$A$1:$A$49,products!$C$1:$C$49,,0)</f>
        <v>M</v>
      </c>
      <c r="K442" s="7">
        <f>_xlfn.XLOOKUP(D442,products!$A$1:$A$49,products!$D$1:$D$49,,0)</f>
        <v>2.5</v>
      </c>
      <c r="L442" s="9">
        <f>_xlfn.XLOOKUP(D442,products!$A$1:$A$49,products!$E$1:$E$49,,0)</f>
        <v>25.874999999999996</v>
      </c>
      <c r="M442" s="9">
        <f t="shared" si="6"/>
        <v>103.49999999999999</v>
      </c>
      <c r="N442" s="3" t="str" cm="1">
        <f t="array" ref="N442">_xlfn.SWITCH(I442,
"Rob","Robusta",
"Exc","Excelsa",
"Ara","Arabica",
"Lib","Liberica",
"")</f>
        <v>Arabica</v>
      </c>
      <c r="O442" t="str" cm="1">
        <f t="array" ref="O442">_xlfn.SWITCH(J442,
"M","Medium",
"L","Light",
"D","Dark",
"")</f>
        <v>Medium</v>
      </c>
      <c r="P442" t="str">
        <f>_xlfn.XLOOKUP(Orders[[#This Row],[Customer ID]],customers!$A$1:$A$1001,customers!$I$1:$I$1001,,0)</f>
        <v>Yes</v>
      </c>
    </row>
    <row r="443" spans="1:16" x14ac:dyDescent="0.35">
      <c r="A443" s="2" t="s">
        <v>2974</v>
      </c>
      <c r="B443" s="4">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_xlfn.XLOOKUP(D443,products!$A$1:$A$49,products!$B$1:$B$49,,0)</f>
        <v>Exc</v>
      </c>
      <c r="J443" t="str">
        <f>_xlfn.XLOOKUP(D443,products!$A$1:$A$49,products!$C$1:$C$49,,0)</f>
        <v>D</v>
      </c>
      <c r="K443" s="7">
        <f>_xlfn.XLOOKUP(D443,products!$A$1:$A$49,products!$D$1:$D$49,,0)</f>
        <v>1</v>
      </c>
      <c r="L443" s="9">
        <f>_xlfn.XLOOKUP(D443,products!$A$1:$A$49,products!$E$1:$E$49,,0)</f>
        <v>12.15</v>
      </c>
      <c r="M443" s="9">
        <f t="shared" si="6"/>
        <v>36.450000000000003</v>
      </c>
      <c r="N443" s="3" t="str" cm="1">
        <f t="array" ref="N443">_xlfn.SWITCH(I443,
"Rob","Robusta",
"Exc","Excelsa",
"Ara","Arabica",
"Lib","Liberica",
"")</f>
        <v>Excelsa</v>
      </c>
      <c r="O443" t="str" cm="1">
        <f t="array" ref="O443">_xlfn.SWITCH(J443,
"M","Medium",
"L","Light",
"D","Dark",
"")</f>
        <v>Dark</v>
      </c>
      <c r="P443" t="str">
        <f>_xlfn.XLOOKUP(Orders[[#This Row],[Customer ID]],customers!$A$1:$A$1001,customers!$I$1:$I$1001,,0)</f>
        <v>Yes</v>
      </c>
    </row>
    <row r="444" spans="1:16" x14ac:dyDescent="0.35">
      <c r="A444" s="2" t="s">
        <v>2980</v>
      </c>
      <c r="B444" s="4">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_xlfn.XLOOKUP(D444,products!$A$1:$A$49,products!$B$1:$B$49,,0)</f>
        <v>Rob</v>
      </c>
      <c r="J444" t="str">
        <f>_xlfn.XLOOKUP(D444,products!$A$1:$A$49,products!$C$1:$C$49,,0)</f>
        <v>L</v>
      </c>
      <c r="K444" s="7">
        <f>_xlfn.XLOOKUP(D444,products!$A$1:$A$49,products!$D$1:$D$49,,0)</f>
        <v>0.5</v>
      </c>
      <c r="L444" s="9">
        <f>_xlfn.XLOOKUP(D444,products!$A$1:$A$49,products!$E$1:$E$49,,0)</f>
        <v>7.169999999999999</v>
      </c>
      <c r="M444" s="9">
        <f t="shared" si="6"/>
        <v>35.849999999999994</v>
      </c>
      <c r="N444" s="3" t="str" cm="1">
        <f t="array" ref="N444">_xlfn.SWITCH(I444,
"Rob","Robusta",
"Exc","Excelsa",
"Ara","Arabica",
"Lib","Liberica",
"")</f>
        <v>Robusta</v>
      </c>
      <c r="O444" t="str" cm="1">
        <f t="array" ref="O444">_xlfn.SWITCH(J444,
"M","Medium",
"L","Light",
"D","Dark",
"")</f>
        <v>Light</v>
      </c>
      <c r="P444" t="str">
        <f>_xlfn.XLOOKUP(Orders[[#This Row],[Customer ID]],customers!$A$1:$A$1001,customers!$I$1:$I$1001,,0)</f>
        <v>No</v>
      </c>
    </row>
    <row r="445" spans="1:16" x14ac:dyDescent="0.35">
      <c r="A445" s="2" t="s">
        <v>2986</v>
      </c>
      <c r="B445" s="4">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_xlfn.XLOOKUP(D445,products!$A$1:$A$49,products!$B$1:$B$49,,0)</f>
        <v>Exc</v>
      </c>
      <c r="J445" t="str">
        <f>_xlfn.XLOOKUP(D445,products!$A$1:$A$49,products!$C$1:$C$49,,0)</f>
        <v>L</v>
      </c>
      <c r="K445" s="7">
        <f>_xlfn.XLOOKUP(D445,products!$A$1:$A$49,products!$D$1:$D$49,,0)</f>
        <v>0.2</v>
      </c>
      <c r="L445" s="9">
        <f>_xlfn.XLOOKUP(D445,products!$A$1:$A$49,products!$E$1:$E$49,,0)</f>
        <v>4.4550000000000001</v>
      </c>
      <c r="M445" s="9">
        <f t="shared" si="6"/>
        <v>22.274999999999999</v>
      </c>
      <c r="N445" s="3" t="str" cm="1">
        <f t="array" ref="N445">_xlfn.SWITCH(I445,
"Rob","Robusta",
"Exc","Excelsa",
"Ara","Arabica",
"Lib","Liberica",
"")</f>
        <v>Excelsa</v>
      </c>
      <c r="O445" t="str" cm="1">
        <f t="array" ref="O445">_xlfn.SWITCH(J445,
"M","Medium",
"L","Light",
"D","Dark",
"")</f>
        <v>Light</v>
      </c>
      <c r="P445" t="str">
        <f>_xlfn.XLOOKUP(Orders[[#This Row],[Customer ID]],customers!$A$1:$A$1001,customers!$I$1:$I$1001,,0)</f>
        <v>Yes</v>
      </c>
    </row>
    <row r="446" spans="1:16" x14ac:dyDescent="0.35">
      <c r="A446" s="2" t="s">
        <v>2992</v>
      </c>
      <c r="B446" s="4">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_xlfn.XLOOKUP(D446,products!$A$1:$A$49,products!$B$1:$B$49,,0)</f>
        <v>Exc</v>
      </c>
      <c r="J446" t="str">
        <f>_xlfn.XLOOKUP(D446,products!$A$1:$A$49,products!$C$1:$C$49,,0)</f>
        <v>M</v>
      </c>
      <c r="K446" s="7">
        <f>_xlfn.XLOOKUP(D446,products!$A$1:$A$49,products!$D$1:$D$49,,0)</f>
        <v>0.2</v>
      </c>
      <c r="L446" s="9">
        <f>_xlfn.XLOOKUP(D446,products!$A$1:$A$49,products!$E$1:$E$49,,0)</f>
        <v>4.125</v>
      </c>
      <c r="M446" s="9">
        <f t="shared" si="6"/>
        <v>24.75</v>
      </c>
      <c r="N446" s="3" t="str" cm="1">
        <f t="array" ref="N446">_xlfn.SWITCH(I446,
"Rob","Robusta",
"Exc","Excelsa",
"Ara","Arabica",
"Lib","Liberica",
"")</f>
        <v>Excelsa</v>
      </c>
      <c r="O446" t="str" cm="1">
        <f t="array" ref="O446">_xlfn.SWITCH(J446,
"M","Medium",
"L","Light",
"D","Dark",
"")</f>
        <v>Medium</v>
      </c>
      <c r="P446" t="str">
        <f>_xlfn.XLOOKUP(Orders[[#This Row],[Customer ID]],customers!$A$1:$A$1001,customers!$I$1:$I$1001,,0)</f>
        <v>No</v>
      </c>
    </row>
    <row r="447" spans="1:16" x14ac:dyDescent="0.35">
      <c r="A447" s="2" t="s">
        <v>2999</v>
      </c>
      <c r="B447" s="4">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_xlfn.XLOOKUP(D447,products!$A$1:$A$49,products!$B$1:$B$49,,0)</f>
        <v>Lib</v>
      </c>
      <c r="J447" t="str">
        <f>_xlfn.XLOOKUP(D447,products!$A$1:$A$49,products!$C$1:$C$49,,0)</f>
        <v>M</v>
      </c>
      <c r="K447" s="7">
        <f>_xlfn.XLOOKUP(D447,products!$A$1:$A$49,products!$D$1:$D$49,,0)</f>
        <v>2.5</v>
      </c>
      <c r="L447" s="9">
        <f>_xlfn.XLOOKUP(D447,products!$A$1:$A$49,products!$E$1:$E$49,,0)</f>
        <v>33.464999999999996</v>
      </c>
      <c r="M447" s="9">
        <f t="shared" si="6"/>
        <v>66.929999999999993</v>
      </c>
      <c r="N447" s="3" t="str" cm="1">
        <f t="array" ref="N447">_xlfn.SWITCH(I447,
"Rob","Robusta",
"Exc","Excelsa",
"Ara","Arabica",
"Lib","Liberica",
"")</f>
        <v>Liberica</v>
      </c>
      <c r="O447" t="str" cm="1">
        <f t="array" ref="O447">_xlfn.SWITCH(J447,
"M","Medium",
"L","Light",
"D","Dark",
"")</f>
        <v>Medium</v>
      </c>
      <c r="P447" t="str">
        <f>_xlfn.XLOOKUP(Orders[[#This Row],[Customer ID]],customers!$A$1:$A$1001,customers!$I$1:$I$1001,,0)</f>
        <v>Yes</v>
      </c>
    </row>
    <row r="448" spans="1:16" x14ac:dyDescent="0.35">
      <c r="A448" s="2" t="s">
        <v>3004</v>
      </c>
      <c r="B448" s="4">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_xlfn.XLOOKUP(D448,products!$A$1:$A$49,products!$B$1:$B$49,,0)</f>
        <v>Lib</v>
      </c>
      <c r="J448" t="str">
        <f>_xlfn.XLOOKUP(D448,products!$A$1:$A$49,products!$C$1:$C$49,,0)</f>
        <v>M</v>
      </c>
      <c r="K448" s="7">
        <f>_xlfn.XLOOKUP(D448,products!$A$1:$A$49,products!$D$1:$D$49,,0)</f>
        <v>0.5</v>
      </c>
      <c r="L448" s="9">
        <f>_xlfn.XLOOKUP(D448,products!$A$1:$A$49,products!$E$1:$E$49,,0)</f>
        <v>8.73</v>
      </c>
      <c r="M448" s="9">
        <f t="shared" si="6"/>
        <v>8.73</v>
      </c>
      <c r="N448" s="3" t="str" cm="1">
        <f t="array" ref="N448">_xlfn.SWITCH(I448,
"Rob","Robusta",
"Exc","Excelsa",
"Ara","Arabica",
"Lib","Liberica",
"")</f>
        <v>Liberica</v>
      </c>
      <c r="O448" t="str" cm="1">
        <f t="array" ref="O448">_xlfn.SWITCH(J448,
"M","Medium",
"L","Light",
"D","Dark",
"")</f>
        <v>Medium</v>
      </c>
      <c r="P448" t="str">
        <f>_xlfn.XLOOKUP(Orders[[#This Row],[Customer ID]],customers!$A$1:$A$1001,customers!$I$1:$I$1001,,0)</f>
        <v>Yes</v>
      </c>
    </row>
    <row r="449" spans="1:16" x14ac:dyDescent="0.35">
      <c r="A449" s="2" t="s">
        <v>3010</v>
      </c>
      <c r="B449" s="4">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_xlfn.XLOOKUP(D449,products!$A$1:$A$49,products!$B$1:$B$49,,0)</f>
        <v>Rob</v>
      </c>
      <c r="J449" t="str">
        <f>_xlfn.XLOOKUP(D449,products!$A$1:$A$49,products!$C$1:$C$49,,0)</f>
        <v>M</v>
      </c>
      <c r="K449" s="7">
        <f>_xlfn.XLOOKUP(D449,products!$A$1:$A$49,products!$D$1:$D$49,,0)</f>
        <v>0.5</v>
      </c>
      <c r="L449" s="9">
        <f>_xlfn.XLOOKUP(D449,products!$A$1:$A$49,products!$E$1:$E$49,,0)</f>
        <v>5.97</v>
      </c>
      <c r="M449" s="9">
        <f t="shared" si="6"/>
        <v>17.91</v>
      </c>
      <c r="N449" s="3" t="str" cm="1">
        <f t="array" ref="N449">_xlfn.SWITCH(I449,
"Rob","Robusta",
"Exc","Excelsa",
"Ara","Arabica",
"Lib","Liberica",
"")</f>
        <v>Robusta</v>
      </c>
      <c r="O449" t="str" cm="1">
        <f t="array" ref="O449">_xlfn.SWITCH(J449,
"M","Medium",
"L","Light",
"D","Dark",
"")</f>
        <v>Medium</v>
      </c>
      <c r="P449" t="str">
        <f>_xlfn.XLOOKUP(Orders[[#This Row],[Customer ID]],customers!$A$1:$A$1001,customers!$I$1:$I$1001,,0)</f>
        <v>No</v>
      </c>
    </row>
    <row r="450" spans="1:16" x14ac:dyDescent="0.35">
      <c r="A450" s="2" t="s">
        <v>3015</v>
      </c>
      <c r="B450" s="4">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_xlfn.XLOOKUP(D450,products!$A$1:$A$49,products!$B$1:$B$49,,0)</f>
        <v>Rob</v>
      </c>
      <c r="J450" t="str">
        <f>_xlfn.XLOOKUP(D450,products!$A$1:$A$49,products!$C$1:$C$49,,0)</f>
        <v>L</v>
      </c>
      <c r="K450" s="7">
        <f>_xlfn.XLOOKUP(D450,products!$A$1:$A$49,products!$D$1:$D$49,,0)</f>
        <v>0.5</v>
      </c>
      <c r="L450" s="9">
        <f>_xlfn.XLOOKUP(D450,products!$A$1:$A$49,products!$E$1:$E$49,,0)</f>
        <v>7.169999999999999</v>
      </c>
      <c r="M450" s="9">
        <f t="shared" si="6"/>
        <v>7.169999999999999</v>
      </c>
      <c r="N450" s="3" t="str" cm="1">
        <f t="array" ref="N450">_xlfn.SWITCH(I450,
"Rob","Robusta",
"Exc","Excelsa",
"Ara","Arabica",
"Lib","Liberica",
"")</f>
        <v>Robusta</v>
      </c>
      <c r="O450" t="str" cm="1">
        <f t="array" ref="O450">_xlfn.SWITCH(J450,
"M","Medium",
"L","Light",
"D","Dark",
"")</f>
        <v>Light</v>
      </c>
      <c r="P450" t="str">
        <f>_xlfn.XLOOKUP(Orders[[#This Row],[Customer ID]],customers!$A$1:$A$1001,customers!$I$1:$I$1001,,0)</f>
        <v>No</v>
      </c>
    </row>
    <row r="451" spans="1:16" x14ac:dyDescent="0.35">
      <c r="A451" s="2" t="s">
        <v>3021</v>
      </c>
      <c r="B451" s="4">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_xlfn.XLOOKUP(D451,products!$A$1:$A$49,products!$B$1:$B$49,,0)</f>
        <v>Rob</v>
      </c>
      <c r="J451" t="str">
        <f>_xlfn.XLOOKUP(D451,products!$A$1:$A$49,products!$C$1:$C$49,,0)</f>
        <v>D</v>
      </c>
      <c r="K451" s="7">
        <f>_xlfn.XLOOKUP(D451,products!$A$1:$A$49,products!$D$1:$D$49,,0)</f>
        <v>0.2</v>
      </c>
      <c r="L451" s="9">
        <f>_xlfn.XLOOKUP(D451,products!$A$1:$A$49,products!$E$1:$E$49,,0)</f>
        <v>2.6849999999999996</v>
      </c>
      <c r="M451" s="9">
        <f t="shared" ref="M451:M514" si="7">L451*E451</f>
        <v>5.3699999999999992</v>
      </c>
      <c r="N451" s="3" t="str" cm="1">
        <f t="array" ref="N451">_xlfn.SWITCH(I451,
"Rob","Robusta",
"Exc","Excelsa",
"Ara","Arabica",
"Lib","Liberica",
"")</f>
        <v>Robusta</v>
      </c>
      <c r="O451" t="str" cm="1">
        <f t="array" ref="O451">_xlfn.SWITCH(J451,
"M","Medium",
"L","Light",
"D","Dark",
"")</f>
        <v>Dark</v>
      </c>
      <c r="P451" t="str">
        <f>_xlfn.XLOOKUP(Orders[[#This Row],[Customer ID]],customers!$A$1:$A$1001,customers!$I$1:$I$1001,,0)</f>
        <v>No</v>
      </c>
    </row>
    <row r="452" spans="1:16" x14ac:dyDescent="0.35">
      <c r="A452" s="2" t="s">
        <v>3027</v>
      </c>
      <c r="B452" s="4">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_xlfn.XLOOKUP(D452,products!$A$1:$A$49,products!$B$1:$B$49,,0)</f>
        <v>Lib</v>
      </c>
      <c r="J452" t="str">
        <f>_xlfn.XLOOKUP(D452,products!$A$1:$A$49,products!$C$1:$C$49,,0)</f>
        <v>L</v>
      </c>
      <c r="K452" s="7">
        <f>_xlfn.XLOOKUP(D452,products!$A$1:$A$49,products!$D$1:$D$49,,0)</f>
        <v>0.2</v>
      </c>
      <c r="L452" s="9">
        <f>_xlfn.XLOOKUP(D452,products!$A$1:$A$49,products!$E$1:$E$49,,0)</f>
        <v>4.7549999999999999</v>
      </c>
      <c r="M452" s="9">
        <f t="shared" si="7"/>
        <v>23.774999999999999</v>
      </c>
      <c r="N452" s="3" t="str" cm="1">
        <f t="array" ref="N452">_xlfn.SWITCH(I452,
"Rob","Robusta",
"Exc","Excelsa",
"Ara","Arabica",
"Lib","Liberica",
"")</f>
        <v>Liberica</v>
      </c>
      <c r="O452" t="str" cm="1">
        <f t="array" ref="O452">_xlfn.SWITCH(J452,
"M","Medium",
"L","Light",
"D","Dark",
"")</f>
        <v>Light</v>
      </c>
      <c r="P452" t="str">
        <f>_xlfn.XLOOKUP(Orders[[#This Row],[Customer ID]],customers!$A$1:$A$1001,customers!$I$1:$I$1001,,0)</f>
        <v>No</v>
      </c>
    </row>
    <row r="453" spans="1:16" x14ac:dyDescent="0.35">
      <c r="A453" s="2" t="s">
        <v>3035</v>
      </c>
      <c r="B453" s="4">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_xlfn.XLOOKUP(D453,products!$A$1:$A$49,products!$B$1:$B$49,,0)</f>
        <v>Rob</v>
      </c>
      <c r="J453" t="str">
        <f>_xlfn.XLOOKUP(D453,products!$A$1:$A$49,products!$C$1:$C$49,,0)</f>
        <v>D</v>
      </c>
      <c r="K453" s="7">
        <f>_xlfn.XLOOKUP(D453,products!$A$1:$A$49,products!$D$1:$D$49,,0)</f>
        <v>2.5</v>
      </c>
      <c r="L453" s="9">
        <f>_xlfn.XLOOKUP(D453,products!$A$1:$A$49,products!$E$1:$E$49,,0)</f>
        <v>20.584999999999997</v>
      </c>
      <c r="M453" s="9">
        <f t="shared" si="7"/>
        <v>41.169999999999995</v>
      </c>
      <c r="N453" s="3" t="str" cm="1">
        <f t="array" ref="N453">_xlfn.SWITCH(I453,
"Rob","Robusta",
"Exc","Excelsa",
"Ara","Arabica",
"Lib","Liberica",
"")</f>
        <v>Robusta</v>
      </c>
      <c r="O453" t="str" cm="1">
        <f t="array" ref="O453">_xlfn.SWITCH(J453,
"M","Medium",
"L","Light",
"D","Dark",
"")</f>
        <v>Dark</v>
      </c>
      <c r="P453" t="str">
        <f>_xlfn.XLOOKUP(Orders[[#This Row],[Customer ID]],customers!$A$1:$A$1001,customers!$I$1:$I$1001,,0)</f>
        <v>Yes</v>
      </c>
    </row>
    <row r="454" spans="1:16" x14ac:dyDescent="0.35">
      <c r="A454" s="2" t="s">
        <v>3041</v>
      </c>
      <c r="B454" s="4">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_xlfn.XLOOKUP(D454,products!$A$1:$A$49,products!$B$1:$B$49,,0)</f>
        <v>Ara</v>
      </c>
      <c r="J454" t="str">
        <f>_xlfn.XLOOKUP(D454,products!$A$1:$A$49,products!$C$1:$C$49,,0)</f>
        <v>L</v>
      </c>
      <c r="K454" s="7">
        <f>_xlfn.XLOOKUP(D454,products!$A$1:$A$49,products!$D$1:$D$49,,0)</f>
        <v>0.2</v>
      </c>
      <c r="L454" s="9">
        <f>_xlfn.XLOOKUP(D454,products!$A$1:$A$49,products!$E$1:$E$49,,0)</f>
        <v>3.8849999999999998</v>
      </c>
      <c r="M454" s="9">
        <f t="shared" si="7"/>
        <v>11.654999999999999</v>
      </c>
      <c r="N454" s="3" t="str" cm="1">
        <f t="array" ref="N454">_xlfn.SWITCH(I454,
"Rob","Robusta",
"Exc","Excelsa",
"Ara","Arabica",
"Lib","Liberica",
"")</f>
        <v>Arabica</v>
      </c>
      <c r="O454" t="str" cm="1">
        <f t="array" ref="O454">_xlfn.SWITCH(J454,
"M","Medium",
"L","Light",
"D","Dark",
"")</f>
        <v>Light</v>
      </c>
      <c r="P454" t="str">
        <f>_xlfn.XLOOKUP(Orders[[#This Row],[Customer ID]],customers!$A$1:$A$1001,customers!$I$1:$I$1001,,0)</f>
        <v>No</v>
      </c>
    </row>
    <row r="455" spans="1:16" x14ac:dyDescent="0.35">
      <c r="A455" s="2" t="s">
        <v>3047</v>
      </c>
      <c r="B455" s="4">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_xlfn.XLOOKUP(D455,products!$A$1:$A$49,products!$B$1:$B$49,,0)</f>
        <v>Lib</v>
      </c>
      <c r="J455" t="str">
        <f>_xlfn.XLOOKUP(D455,products!$A$1:$A$49,products!$C$1:$C$49,,0)</f>
        <v>L</v>
      </c>
      <c r="K455" s="7">
        <f>_xlfn.XLOOKUP(D455,products!$A$1:$A$49,products!$D$1:$D$49,,0)</f>
        <v>0.5</v>
      </c>
      <c r="L455" s="9">
        <f>_xlfn.XLOOKUP(D455,products!$A$1:$A$49,products!$E$1:$E$49,,0)</f>
        <v>9.51</v>
      </c>
      <c r="M455" s="9">
        <f t="shared" si="7"/>
        <v>38.04</v>
      </c>
      <c r="N455" s="3" t="str" cm="1">
        <f t="array" ref="N455">_xlfn.SWITCH(I455,
"Rob","Robusta",
"Exc","Excelsa",
"Ara","Arabica",
"Lib","Liberica",
"")</f>
        <v>Liberica</v>
      </c>
      <c r="O455" t="str" cm="1">
        <f t="array" ref="O455">_xlfn.SWITCH(J455,
"M","Medium",
"L","Light",
"D","Dark",
"")</f>
        <v>Light</v>
      </c>
      <c r="P455" t="str">
        <f>_xlfn.XLOOKUP(Orders[[#This Row],[Customer ID]],customers!$A$1:$A$1001,customers!$I$1:$I$1001,,0)</f>
        <v>No</v>
      </c>
    </row>
    <row r="456" spans="1:16" x14ac:dyDescent="0.35">
      <c r="A456" s="2" t="s">
        <v>3053</v>
      </c>
      <c r="B456" s="4">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_xlfn.XLOOKUP(D456,products!$A$1:$A$49,products!$B$1:$B$49,,0)</f>
        <v>Rob</v>
      </c>
      <c r="J456" t="str">
        <f>_xlfn.XLOOKUP(D456,products!$A$1:$A$49,products!$C$1:$C$49,,0)</f>
        <v>D</v>
      </c>
      <c r="K456" s="7">
        <f>_xlfn.XLOOKUP(D456,products!$A$1:$A$49,products!$D$1:$D$49,,0)</f>
        <v>2.5</v>
      </c>
      <c r="L456" s="9">
        <f>_xlfn.XLOOKUP(D456,products!$A$1:$A$49,products!$E$1:$E$49,,0)</f>
        <v>20.584999999999997</v>
      </c>
      <c r="M456" s="9">
        <f t="shared" si="7"/>
        <v>82.339999999999989</v>
      </c>
      <c r="N456" s="3" t="str" cm="1">
        <f t="array" ref="N456">_xlfn.SWITCH(I456,
"Rob","Robusta",
"Exc","Excelsa",
"Ara","Arabica",
"Lib","Liberica",
"")</f>
        <v>Robusta</v>
      </c>
      <c r="O456" t="str" cm="1">
        <f t="array" ref="O456">_xlfn.SWITCH(J456,
"M","Medium",
"L","Light",
"D","Dark",
"")</f>
        <v>Dark</v>
      </c>
      <c r="P456" t="str">
        <f>_xlfn.XLOOKUP(Orders[[#This Row],[Customer ID]],customers!$A$1:$A$1001,customers!$I$1:$I$1001,,0)</f>
        <v>Yes</v>
      </c>
    </row>
    <row r="457" spans="1:16" x14ac:dyDescent="0.35">
      <c r="A457" s="2" t="s">
        <v>3058</v>
      </c>
      <c r="B457" s="4">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_xlfn.XLOOKUP(D457,products!$A$1:$A$49,products!$B$1:$B$49,,0)</f>
        <v>Lib</v>
      </c>
      <c r="J457" t="str">
        <f>_xlfn.XLOOKUP(D457,products!$A$1:$A$49,products!$C$1:$C$49,,0)</f>
        <v>L</v>
      </c>
      <c r="K457" s="7">
        <f>_xlfn.XLOOKUP(D457,products!$A$1:$A$49,products!$D$1:$D$49,,0)</f>
        <v>0.2</v>
      </c>
      <c r="L457" s="9">
        <f>_xlfn.XLOOKUP(D457,products!$A$1:$A$49,products!$E$1:$E$49,,0)</f>
        <v>4.7549999999999999</v>
      </c>
      <c r="M457" s="9">
        <f t="shared" si="7"/>
        <v>9.51</v>
      </c>
      <c r="N457" s="3" t="str" cm="1">
        <f t="array" ref="N457">_xlfn.SWITCH(I457,
"Rob","Robusta",
"Exc","Excelsa",
"Ara","Arabica",
"Lib","Liberica",
"")</f>
        <v>Liberica</v>
      </c>
      <c r="O457" t="str" cm="1">
        <f t="array" ref="O457">_xlfn.SWITCH(J457,
"M","Medium",
"L","Light",
"D","Dark",
"")</f>
        <v>Light</v>
      </c>
      <c r="P457" t="str">
        <f>_xlfn.XLOOKUP(Orders[[#This Row],[Customer ID]],customers!$A$1:$A$1001,customers!$I$1:$I$1001,,0)</f>
        <v>Yes</v>
      </c>
    </row>
    <row r="458" spans="1:16" x14ac:dyDescent="0.35">
      <c r="A458" s="2" t="s">
        <v>3064</v>
      </c>
      <c r="B458" s="4">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_xlfn.XLOOKUP(D458,products!$A$1:$A$49,products!$B$1:$B$49,,0)</f>
        <v>Rob</v>
      </c>
      <c r="J458" t="str">
        <f>_xlfn.XLOOKUP(D458,products!$A$1:$A$49,products!$C$1:$C$49,,0)</f>
        <v>D</v>
      </c>
      <c r="K458" s="7">
        <f>_xlfn.XLOOKUP(D458,products!$A$1:$A$49,products!$D$1:$D$49,,0)</f>
        <v>2.5</v>
      </c>
      <c r="L458" s="9">
        <f>_xlfn.XLOOKUP(D458,products!$A$1:$A$49,products!$E$1:$E$49,,0)</f>
        <v>20.584999999999997</v>
      </c>
      <c r="M458" s="9">
        <f t="shared" si="7"/>
        <v>41.169999999999995</v>
      </c>
      <c r="N458" s="3" t="str" cm="1">
        <f t="array" ref="N458">_xlfn.SWITCH(I458,
"Rob","Robusta",
"Exc","Excelsa",
"Ara","Arabica",
"Lib","Liberica",
"")</f>
        <v>Robusta</v>
      </c>
      <c r="O458" t="str" cm="1">
        <f t="array" ref="O458">_xlfn.SWITCH(J458,
"M","Medium",
"L","Light",
"D","Dark",
"")</f>
        <v>Dark</v>
      </c>
      <c r="P458" t="str">
        <f>_xlfn.XLOOKUP(Orders[[#This Row],[Customer ID]],customers!$A$1:$A$1001,customers!$I$1:$I$1001,,0)</f>
        <v>No</v>
      </c>
    </row>
    <row r="459" spans="1:16" x14ac:dyDescent="0.35">
      <c r="A459" s="2" t="s">
        <v>3070</v>
      </c>
      <c r="B459" s="4">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_xlfn.XLOOKUP(D459,products!$A$1:$A$49,products!$B$1:$B$49,,0)</f>
        <v>Lib</v>
      </c>
      <c r="J459" t="str">
        <f>_xlfn.XLOOKUP(D459,products!$A$1:$A$49,products!$C$1:$C$49,,0)</f>
        <v>L</v>
      </c>
      <c r="K459" s="7">
        <f>_xlfn.XLOOKUP(D459,products!$A$1:$A$49,products!$D$1:$D$49,,0)</f>
        <v>0.5</v>
      </c>
      <c r="L459" s="9">
        <f>_xlfn.XLOOKUP(D459,products!$A$1:$A$49,products!$E$1:$E$49,,0)</f>
        <v>9.51</v>
      </c>
      <c r="M459" s="9">
        <f t="shared" si="7"/>
        <v>47.55</v>
      </c>
      <c r="N459" s="3" t="str" cm="1">
        <f t="array" ref="N459">_xlfn.SWITCH(I459,
"Rob","Robusta",
"Exc","Excelsa",
"Ara","Arabica",
"Lib","Liberica",
"")</f>
        <v>Liberica</v>
      </c>
      <c r="O459" t="str" cm="1">
        <f t="array" ref="O459">_xlfn.SWITCH(J459,
"M","Medium",
"L","Light",
"D","Dark",
"")</f>
        <v>Light</v>
      </c>
      <c r="P459" t="str">
        <f>_xlfn.XLOOKUP(Orders[[#This Row],[Customer ID]],customers!$A$1:$A$1001,customers!$I$1:$I$1001,,0)</f>
        <v>No</v>
      </c>
    </row>
    <row r="460" spans="1:16" x14ac:dyDescent="0.35">
      <c r="A460" s="2" t="s">
        <v>3076</v>
      </c>
      <c r="B460" s="4">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_xlfn.XLOOKUP(D460,products!$A$1:$A$49,products!$B$1:$B$49,,0)</f>
        <v>Ara</v>
      </c>
      <c r="J460" t="str">
        <f>_xlfn.XLOOKUP(D460,products!$A$1:$A$49,products!$C$1:$C$49,,0)</f>
        <v>M</v>
      </c>
      <c r="K460" s="7">
        <f>_xlfn.XLOOKUP(D460,products!$A$1:$A$49,products!$D$1:$D$49,,0)</f>
        <v>1</v>
      </c>
      <c r="L460" s="9">
        <f>_xlfn.XLOOKUP(D460,products!$A$1:$A$49,products!$E$1:$E$49,,0)</f>
        <v>11.25</v>
      </c>
      <c r="M460" s="9">
        <f t="shared" si="7"/>
        <v>45</v>
      </c>
      <c r="N460" s="3" t="str" cm="1">
        <f t="array" ref="N460">_xlfn.SWITCH(I460,
"Rob","Robusta",
"Exc","Excelsa",
"Ara","Arabica",
"Lib","Liberica",
"")</f>
        <v>Arabica</v>
      </c>
      <c r="O460" t="str" cm="1">
        <f t="array" ref="O460">_xlfn.SWITCH(J460,
"M","Medium",
"L","Light",
"D","Dark",
"")</f>
        <v>Medium</v>
      </c>
      <c r="P460" t="str">
        <f>_xlfn.XLOOKUP(Orders[[#This Row],[Customer ID]],customers!$A$1:$A$1001,customers!$I$1:$I$1001,,0)</f>
        <v>No</v>
      </c>
    </row>
    <row r="461" spans="1:16" x14ac:dyDescent="0.35">
      <c r="A461" s="2" t="s">
        <v>3082</v>
      </c>
      <c r="B461" s="4">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_xlfn.XLOOKUP(D461,products!$A$1:$A$49,products!$B$1:$B$49,,0)</f>
        <v>Lib</v>
      </c>
      <c r="J461" t="str">
        <f>_xlfn.XLOOKUP(D461,products!$A$1:$A$49,products!$C$1:$C$49,,0)</f>
        <v>L</v>
      </c>
      <c r="K461" s="7">
        <f>_xlfn.XLOOKUP(D461,products!$A$1:$A$49,products!$D$1:$D$49,,0)</f>
        <v>0.2</v>
      </c>
      <c r="L461" s="9">
        <f>_xlfn.XLOOKUP(D461,products!$A$1:$A$49,products!$E$1:$E$49,,0)</f>
        <v>4.7549999999999999</v>
      </c>
      <c r="M461" s="9">
        <f t="shared" si="7"/>
        <v>23.774999999999999</v>
      </c>
      <c r="N461" s="3" t="str" cm="1">
        <f t="array" ref="N461">_xlfn.SWITCH(I461,
"Rob","Robusta",
"Exc","Excelsa",
"Ara","Arabica",
"Lib","Liberica",
"")</f>
        <v>Liberica</v>
      </c>
      <c r="O461" t="str" cm="1">
        <f t="array" ref="O461">_xlfn.SWITCH(J461,
"M","Medium",
"L","Light",
"D","Dark",
"")</f>
        <v>Light</v>
      </c>
      <c r="P461" t="str">
        <f>_xlfn.XLOOKUP(Orders[[#This Row],[Customer ID]],customers!$A$1:$A$1001,customers!$I$1:$I$1001,,0)</f>
        <v>No</v>
      </c>
    </row>
    <row r="462" spans="1:16" x14ac:dyDescent="0.35">
      <c r="A462" s="2" t="s">
        <v>3088</v>
      </c>
      <c r="B462" s="4">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_xlfn.XLOOKUP(D462,products!$A$1:$A$49,products!$B$1:$B$49,,0)</f>
        <v>Rob</v>
      </c>
      <c r="J462" t="str">
        <f>_xlfn.XLOOKUP(D462,products!$A$1:$A$49,products!$C$1:$C$49,,0)</f>
        <v>D</v>
      </c>
      <c r="K462" s="7">
        <f>_xlfn.XLOOKUP(D462,products!$A$1:$A$49,products!$D$1:$D$49,,0)</f>
        <v>0.5</v>
      </c>
      <c r="L462" s="9">
        <f>_xlfn.XLOOKUP(D462,products!$A$1:$A$49,products!$E$1:$E$49,,0)</f>
        <v>5.3699999999999992</v>
      </c>
      <c r="M462" s="9">
        <f t="shared" si="7"/>
        <v>16.11</v>
      </c>
      <c r="N462" s="3" t="str" cm="1">
        <f t="array" ref="N462">_xlfn.SWITCH(I462,
"Rob","Robusta",
"Exc","Excelsa",
"Ara","Arabica",
"Lib","Liberica",
"")</f>
        <v>Robusta</v>
      </c>
      <c r="O462" t="str" cm="1">
        <f t="array" ref="O462">_xlfn.SWITCH(J462,
"M","Medium",
"L","Light",
"D","Dark",
"")</f>
        <v>Dark</v>
      </c>
      <c r="P462" t="str">
        <f>_xlfn.XLOOKUP(Orders[[#This Row],[Customer ID]],customers!$A$1:$A$1001,customers!$I$1:$I$1001,,0)</f>
        <v>Yes</v>
      </c>
    </row>
    <row r="463" spans="1:16" x14ac:dyDescent="0.35">
      <c r="A463" s="2" t="s">
        <v>3094</v>
      </c>
      <c r="B463" s="4">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_xlfn.XLOOKUP(D463,products!$A$1:$A$49,products!$B$1:$B$49,,0)</f>
        <v>Rob</v>
      </c>
      <c r="J463" t="str">
        <f>_xlfn.XLOOKUP(D463,products!$A$1:$A$49,products!$C$1:$C$49,,0)</f>
        <v>D</v>
      </c>
      <c r="K463" s="7">
        <f>_xlfn.XLOOKUP(D463,products!$A$1:$A$49,products!$D$1:$D$49,,0)</f>
        <v>0.2</v>
      </c>
      <c r="L463" s="9">
        <f>_xlfn.XLOOKUP(D463,products!$A$1:$A$49,products!$E$1:$E$49,,0)</f>
        <v>2.6849999999999996</v>
      </c>
      <c r="M463" s="9">
        <f t="shared" si="7"/>
        <v>10.739999999999998</v>
      </c>
      <c r="N463" s="3" t="str" cm="1">
        <f t="array" ref="N463">_xlfn.SWITCH(I463,
"Rob","Robusta",
"Exc","Excelsa",
"Ara","Arabica",
"Lib","Liberica",
"")</f>
        <v>Robusta</v>
      </c>
      <c r="O463" t="str" cm="1">
        <f t="array" ref="O463">_xlfn.SWITCH(J463,
"M","Medium",
"L","Light",
"D","Dark",
"")</f>
        <v>Dark</v>
      </c>
      <c r="P463" t="str">
        <f>_xlfn.XLOOKUP(Orders[[#This Row],[Customer ID]],customers!$A$1:$A$1001,customers!$I$1:$I$1001,,0)</f>
        <v>Yes</v>
      </c>
    </row>
    <row r="464" spans="1:16" x14ac:dyDescent="0.35">
      <c r="A464" s="2" t="s">
        <v>3100</v>
      </c>
      <c r="B464" s="4">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_xlfn.XLOOKUP(D464,products!$A$1:$A$49,products!$B$1:$B$49,,0)</f>
        <v>Ara</v>
      </c>
      <c r="J464" t="str">
        <f>_xlfn.XLOOKUP(D464,products!$A$1:$A$49,products!$C$1:$C$49,,0)</f>
        <v>D</v>
      </c>
      <c r="K464" s="7">
        <f>_xlfn.XLOOKUP(D464,products!$A$1:$A$49,products!$D$1:$D$49,,0)</f>
        <v>1</v>
      </c>
      <c r="L464" s="9">
        <f>_xlfn.XLOOKUP(D464,products!$A$1:$A$49,products!$E$1:$E$49,,0)</f>
        <v>9.9499999999999993</v>
      </c>
      <c r="M464" s="9">
        <f t="shared" si="7"/>
        <v>49.75</v>
      </c>
      <c r="N464" s="3" t="str" cm="1">
        <f t="array" ref="N464">_xlfn.SWITCH(I464,
"Rob","Robusta",
"Exc","Excelsa",
"Ara","Arabica",
"Lib","Liberica",
"")</f>
        <v>Arabica</v>
      </c>
      <c r="O464" t="str" cm="1">
        <f t="array" ref="O464">_xlfn.SWITCH(J464,
"M","Medium",
"L","Light",
"D","Dark",
"")</f>
        <v>Dark</v>
      </c>
      <c r="P464" t="str">
        <f>_xlfn.XLOOKUP(Orders[[#This Row],[Customer ID]],customers!$A$1:$A$1001,customers!$I$1:$I$1001,,0)</f>
        <v>Yes</v>
      </c>
    </row>
    <row r="465" spans="1:16" x14ac:dyDescent="0.35">
      <c r="A465" s="2" t="s">
        <v>3106</v>
      </c>
      <c r="B465" s="4">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_xlfn.XLOOKUP(D465,products!$A$1:$A$49,products!$B$1:$B$49,,0)</f>
        <v>Exc</v>
      </c>
      <c r="J465" t="str">
        <f>_xlfn.XLOOKUP(D465,products!$A$1:$A$49,products!$C$1:$C$49,,0)</f>
        <v>M</v>
      </c>
      <c r="K465" s="7">
        <f>_xlfn.XLOOKUP(D465,products!$A$1:$A$49,products!$D$1:$D$49,,0)</f>
        <v>1</v>
      </c>
      <c r="L465" s="9">
        <f>_xlfn.XLOOKUP(D465,products!$A$1:$A$49,products!$E$1:$E$49,,0)</f>
        <v>13.75</v>
      </c>
      <c r="M465" s="9">
        <f t="shared" si="7"/>
        <v>27.5</v>
      </c>
      <c r="N465" s="3" t="str" cm="1">
        <f t="array" ref="N465">_xlfn.SWITCH(I465,
"Rob","Robusta",
"Exc","Excelsa",
"Ara","Arabica",
"Lib","Liberica",
"")</f>
        <v>Excelsa</v>
      </c>
      <c r="O465" t="str" cm="1">
        <f t="array" ref="O465">_xlfn.SWITCH(J465,
"M","Medium",
"L","Light",
"D","Dark",
"")</f>
        <v>Medium</v>
      </c>
      <c r="P465" t="str">
        <f>_xlfn.XLOOKUP(Orders[[#This Row],[Customer ID]],customers!$A$1:$A$1001,customers!$I$1:$I$1001,,0)</f>
        <v>No</v>
      </c>
    </row>
    <row r="466" spans="1:16" x14ac:dyDescent="0.35">
      <c r="A466" s="2" t="s">
        <v>3112</v>
      </c>
      <c r="B466" s="4">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_xlfn.XLOOKUP(D466,products!$A$1:$A$49,products!$B$1:$B$49,,0)</f>
        <v>Lib</v>
      </c>
      <c r="J466" t="str">
        <f>_xlfn.XLOOKUP(D466,products!$A$1:$A$49,products!$C$1:$C$49,,0)</f>
        <v>D</v>
      </c>
      <c r="K466" s="7">
        <f>_xlfn.XLOOKUP(D466,products!$A$1:$A$49,products!$D$1:$D$49,,0)</f>
        <v>2.5</v>
      </c>
      <c r="L466" s="9">
        <f>_xlfn.XLOOKUP(D466,products!$A$1:$A$49,products!$E$1:$E$49,,0)</f>
        <v>29.784999999999997</v>
      </c>
      <c r="M466" s="9">
        <f t="shared" si="7"/>
        <v>119.13999999999999</v>
      </c>
      <c r="N466" s="3" t="str" cm="1">
        <f t="array" ref="N466">_xlfn.SWITCH(I466,
"Rob","Robusta",
"Exc","Excelsa",
"Ara","Arabica",
"Lib","Liberica",
"")</f>
        <v>Liberica</v>
      </c>
      <c r="O466" t="str" cm="1">
        <f t="array" ref="O466">_xlfn.SWITCH(J466,
"M","Medium",
"L","Light",
"D","Dark",
"")</f>
        <v>Dark</v>
      </c>
      <c r="P466" t="str">
        <f>_xlfn.XLOOKUP(Orders[[#This Row],[Customer ID]],customers!$A$1:$A$1001,customers!$I$1:$I$1001,,0)</f>
        <v>No</v>
      </c>
    </row>
    <row r="467" spans="1:16" x14ac:dyDescent="0.35">
      <c r="A467" s="2" t="s">
        <v>3118</v>
      </c>
      <c r="B467" s="4">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_xlfn.XLOOKUP(D467,products!$A$1:$A$49,products!$B$1:$B$49,,0)</f>
        <v>Rob</v>
      </c>
      <c r="J467" t="str">
        <f>_xlfn.XLOOKUP(D467,products!$A$1:$A$49,products!$C$1:$C$49,,0)</f>
        <v>D</v>
      </c>
      <c r="K467" s="7">
        <f>_xlfn.XLOOKUP(D467,products!$A$1:$A$49,products!$D$1:$D$49,,0)</f>
        <v>2.5</v>
      </c>
      <c r="L467" s="9">
        <f>_xlfn.XLOOKUP(D467,products!$A$1:$A$49,products!$E$1:$E$49,,0)</f>
        <v>20.584999999999997</v>
      </c>
      <c r="M467" s="9">
        <f t="shared" si="7"/>
        <v>20.584999999999997</v>
      </c>
      <c r="N467" s="3" t="str" cm="1">
        <f t="array" ref="N467">_xlfn.SWITCH(I467,
"Rob","Robusta",
"Exc","Excelsa",
"Ara","Arabica",
"Lib","Liberica",
"")</f>
        <v>Robusta</v>
      </c>
      <c r="O467" t="str" cm="1">
        <f t="array" ref="O467">_xlfn.SWITCH(J467,
"M","Medium",
"L","Light",
"D","Dark",
"")</f>
        <v>Dark</v>
      </c>
      <c r="P467" t="str">
        <f>_xlfn.XLOOKUP(Orders[[#This Row],[Customer ID]],customers!$A$1:$A$1001,customers!$I$1:$I$1001,,0)</f>
        <v>Yes</v>
      </c>
    </row>
    <row r="468" spans="1:16" x14ac:dyDescent="0.35">
      <c r="A468" s="2" t="s">
        <v>3124</v>
      </c>
      <c r="B468" s="4">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_xlfn.XLOOKUP(D468,products!$A$1:$A$49,products!$B$1:$B$49,,0)</f>
        <v>Ara</v>
      </c>
      <c r="J468" t="str">
        <f>_xlfn.XLOOKUP(D468,products!$A$1:$A$49,products!$C$1:$C$49,,0)</f>
        <v>D</v>
      </c>
      <c r="K468" s="7">
        <f>_xlfn.XLOOKUP(D468,products!$A$1:$A$49,products!$D$1:$D$49,,0)</f>
        <v>0.2</v>
      </c>
      <c r="L468" s="9">
        <f>_xlfn.XLOOKUP(D468,products!$A$1:$A$49,products!$E$1:$E$49,,0)</f>
        <v>2.9849999999999999</v>
      </c>
      <c r="M468" s="9">
        <f t="shared" si="7"/>
        <v>8.9550000000000001</v>
      </c>
      <c r="N468" s="3" t="str" cm="1">
        <f t="array" ref="N468">_xlfn.SWITCH(I468,
"Rob","Robusta",
"Exc","Excelsa",
"Ara","Arabica",
"Lib","Liberica",
"")</f>
        <v>Arabica</v>
      </c>
      <c r="O468" t="str" cm="1">
        <f t="array" ref="O468">_xlfn.SWITCH(J468,
"M","Medium",
"L","Light",
"D","Dark",
"")</f>
        <v>Dark</v>
      </c>
      <c r="P468" t="str">
        <f>_xlfn.XLOOKUP(Orders[[#This Row],[Customer ID]],customers!$A$1:$A$1001,customers!$I$1:$I$1001,,0)</f>
        <v>Yes</v>
      </c>
    </row>
    <row r="469" spans="1:16" x14ac:dyDescent="0.35">
      <c r="A469" s="2" t="s">
        <v>3130</v>
      </c>
      <c r="B469" s="4">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_xlfn.XLOOKUP(D469,products!$A$1:$A$49,products!$B$1:$B$49,,0)</f>
        <v>Ara</v>
      </c>
      <c r="J469" t="str">
        <f>_xlfn.XLOOKUP(D469,products!$A$1:$A$49,products!$C$1:$C$49,,0)</f>
        <v>D</v>
      </c>
      <c r="K469" s="7">
        <f>_xlfn.XLOOKUP(D469,products!$A$1:$A$49,products!$D$1:$D$49,,0)</f>
        <v>0.5</v>
      </c>
      <c r="L469" s="9">
        <f>_xlfn.XLOOKUP(D469,products!$A$1:$A$49,products!$E$1:$E$49,,0)</f>
        <v>5.97</v>
      </c>
      <c r="M469" s="9">
        <f t="shared" si="7"/>
        <v>5.97</v>
      </c>
      <c r="N469" s="3" t="str" cm="1">
        <f t="array" ref="N469">_xlfn.SWITCH(I469,
"Rob","Robusta",
"Exc","Excelsa",
"Ara","Arabica",
"Lib","Liberica",
"")</f>
        <v>Arabica</v>
      </c>
      <c r="O469" t="str" cm="1">
        <f t="array" ref="O469">_xlfn.SWITCH(J469,
"M","Medium",
"L","Light",
"D","Dark",
"")</f>
        <v>Dark</v>
      </c>
      <c r="P469" t="str">
        <f>_xlfn.XLOOKUP(Orders[[#This Row],[Customer ID]],customers!$A$1:$A$1001,customers!$I$1:$I$1001,,0)</f>
        <v>No</v>
      </c>
    </row>
    <row r="470" spans="1:16" x14ac:dyDescent="0.35">
      <c r="A470" s="2" t="s">
        <v>3136</v>
      </c>
      <c r="B470" s="4">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_xlfn.XLOOKUP(D470,products!$A$1:$A$49,products!$B$1:$B$49,,0)</f>
        <v>Exc</v>
      </c>
      <c r="J470" t="str">
        <f>_xlfn.XLOOKUP(D470,products!$A$1:$A$49,products!$C$1:$C$49,,0)</f>
        <v>M</v>
      </c>
      <c r="K470" s="7">
        <f>_xlfn.XLOOKUP(D470,products!$A$1:$A$49,products!$D$1:$D$49,,0)</f>
        <v>1</v>
      </c>
      <c r="L470" s="9">
        <f>_xlfn.XLOOKUP(D470,products!$A$1:$A$49,products!$E$1:$E$49,,0)</f>
        <v>13.75</v>
      </c>
      <c r="M470" s="9">
        <f t="shared" si="7"/>
        <v>41.25</v>
      </c>
      <c r="N470" s="3" t="str" cm="1">
        <f t="array" ref="N470">_xlfn.SWITCH(I470,
"Rob","Robusta",
"Exc","Excelsa",
"Ara","Arabica",
"Lib","Liberica",
"")</f>
        <v>Excelsa</v>
      </c>
      <c r="O470" t="str" cm="1">
        <f t="array" ref="O470">_xlfn.SWITCH(J470,
"M","Medium",
"L","Light",
"D","Dark",
"")</f>
        <v>Medium</v>
      </c>
      <c r="P470" t="str">
        <f>_xlfn.XLOOKUP(Orders[[#This Row],[Customer ID]],customers!$A$1:$A$1001,customers!$I$1:$I$1001,,0)</f>
        <v>Yes</v>
      </c>
    </row>
    <row r="471" spans="1:16" x14ac:dyDescent="0.35">
      <c r="A471" s="2" t="s">
        <v>3141</v>
      </c>
      <c r="B471" s="4">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_xlfn.XLOOKUP(D471,products!$A$1:$A$49,products!$B$1:$B$49,,0)</f>
        <v>Exc</v>
      </c>
      <c r="J471" t="str">
        <f>_xlfn.XLOOKUP(D471,products!$A$1:$A$49,products!$C$1:$C$49,,0)</f>
        <v>L</v>
      </c>
      <c r="K471" s="7">
        <f>_xlfn.XLOOKUP(D471,products!$A$1:$A$49,products!$D$1:$D$49,,0)</f>
        <v>0.2</v>
      </c>
      <c r="L471" s="9">
        <f>_xlfn.XLOOKUP(D471,products!$A$1:$A$49,products!$E$1:$E$49,,0)</f>
        <v>4.4550000000000001</v>
      </c>
      <c r="M471" s="9">
        <f t="shared" si="7"/>
        <v>22.274999999999999</v>
      </c>
      <c r="N471" s="3" t="str" cm="1">
        <f t="array" ref="N471">_xlfn.SWITCH(I471,
"Rob","Robusta",
"Exc","Excelsa",
"Ara","Arabica",
"Lib","Liberica",
"")</f>
        <v>Excelsa</v>
      </c>
      <c r="O471" t="str" cm="1">
        <f t="array" ref="O471">_xlfn.SWITCH(J471,
"M","Medium",
"L","Light",
"D","Dark",
"")</f>
        <v>Light</v>
      </c>
      <c r="P471" t="str">
        <f>_xlfn.XLOOKUP(Orders[[#This Row],[Customer ID]],customers!$A$1:$A$1001,customers!$I$1:$I$1001,,0)</f>
        <v>Yes</v>
      </c>
    </row>
    <row r="472" spans="1:16" x14ac:dyDescent="0.35">
      <c r="A472" s="2" t="s">
        <v>3147</v>
      </c>
      <c r="B472" s="4">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_xlfn.XLOOKUP(D472,products!$A$1:$A$49,products!$B$1:$B$49,,0)</f>
        <v>Ara</v>
      </c>
      <c r="J472" t="str">
        <f>_xlfn.XLOOKUP(D472,products!$A$1:$A$49,products!$C$1:$C$49,,0)</f>
        <v>M</v>
      </c>
      <c r="K472" s="7">
        <f>_xlfn.XLOOKUP(D472,products!$A$1:$A$49,products!$D$1:$D$49,,0)</f>
        <v>0.5</v>
      </c>
      <c r="L472" s="9">
        <f>_xlfn.XLOOKUP(D472,products!$A$1:$A$49,products!$E$1:$E$49,,0)</f>
        <v>6.75</v>
      </c>
      <c r="M472" s="9">
        <f t="shared" si="7"/>
        <v>6.75</v>
      </c>
      <c r="N472" s="3" t="str" cm="1">
        <f t="array" ref="N472">_xlfn.SWITCH(I472,
"Rob","Robusta",
"Exc","Excelsa",
"Ara","Arabica",
"Lib","Liberica",
"")</f>
        <v>Arabica</v>
      </c>
      <c r="O472" t="str" cm="1">
        <f t="array" ref="O472">_xlfn.SWITCH(J472,
"M","Medium",
"L","Light",
"D","Dark",
"")</f>
        <v>Medium</v>
      </c>
      <c r="P472" t="str">
        <f>_xlfn.XLOOKUP(Orders[[#This Row],[Customer ID]],customers!$A$1:$A$1001,customers!$I$1:$I$1001,,0)</f>
        <v>Yes</v>
      </c>
    </row>
    <row r="473" spans="1:16" x14ac:dyDescent="0.35">
      <c r="A473" s="2" t="s">
        <v>3153</v>
      </c>
      <c r="B473" s="4">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_xlfn.XLOOKUP(D473,products!$A$1:$A$49,products!$B$1:$B$49,,0)</f>
        <v>Lib</v>
      </c>
      <c r="J473" t="str">
        <f>_xlfn.XLOOKUP(D473,products!$A$1:$A$49,products!$C$1:$C$49,,0)</f>
        <v>M</v>
      </c>
      <c r="K473" s="7">
        <f>_xlfn.XLOOKUP(D473,products!$A$1:$A$49,products!$D$1:$D$49,,0)</f>
        <v>2.5</v>
      </c>
      <c r="L473" s="9">
        <f>_xlfn.XLOOKUP(D473,products!$A$1:$A$49,products!$E$1:$E$49,,0)</f>
        <v>33.464999999999996</v>
      </c>
      <c r="M473" s="9">
        <f t="shared" si="7"/>
        <v>133.85999999999999</v>
      </c>
      <c r="N473" s="3" t="str" cm="1">
        <f t="array" ref="N473">_xlfn.SWITCH(I473,
"Rob","Robusta",
"Exc","Excelsa",
"Ara","Arabica",
"Lib","Liberica",
"")</f>
        <v>Liberica</v>
      </c>
      <c r="O473" t="str" cm="1">
        <f t="array" ref="O473">_xlfn.SWITCH(J473,
"M","Medium",
"L","Light",
"D","Dark",
"")</f>
        <v>Medium</v>
      </c>
      <c r="P473" t="str">
        <f>_xlfn.XLOOKUP(Orders[[#This Row],[Customer ID]],customers!$A$1:$A$1001,customers!$I$1:$I$1001,,0)</f>
        <v>Yes</v>
      </c>
    </row>
    <row r="474" spans="1:16" x14ac:dyDescent="0.35">
      <c r="A474" s="2" t="s">
        <v>3158</v>
      </c>
      <c r="B474" s="4">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_xlfn.XLOOKUP(D474,products!$A$1:$A$49,products!$B$1:$B$49,,0)</f>
        <v>Ara</v>
      </c>
      <c r="J474" t="str">
        <f>_xlfn.XLOOKUP(D474,products!$A$1:$A$49,products!$C$1:$C$49,,0)</f>
        <v>D</v>
      </c>
      <c r="K474" s="7">
        <f>_xlfn.XLOOKUP(D474,products!$A$1:$A$49,products!$D$1:$D$49,,0)</f>
        <v>0.2</v>
      </c>
      <c r="L474" s="9">
        <f>_xlfn.XLOOKUP(D474,products!$A$1:$A$49,products!$E$1:$E$49,,0)</f>
        <v>2.9849999999999999</v>
      </c>
      <c r="M474" s="9">
        <f t="shared" si="7"/>
        <v>5.97</v>
      </c>
      <c r="N474" s="3" t="str" cm="1">
        <f t="array" ref="N474">_xlfn.SWITCH(I474,
"Rob","Robusta",
"Exc","Excelsa",
"Ara","Arabica",
"Lib","Liberica",
"")</f>
        <v>Arabica</v>
      </c>
      <c r="O474" t="str" cm="1">
        <f t="array" ref="O474">_xlfn.SWITCH(J474,
"M","Medium",
"L","Light",
"D","Dark",
"")</f>
        <v>Dark</v>
      </c>
      <c r="P474" t="str">
        <f>_xlfn.XLOOKUP(Orders[[#This Row],[Customer ID]],customers!$A$1:$A$1001,customers!$I$1:$I$1001,,0)</f>
        <v>No</v>
      </c>
    </row>
    <row r="475" spans="1:16" x14ac:dyDescent="0.35">
      <c r="A475" s="2" t="s">
        <v>3164</v>
      </c>
      <c r="B475" s="4">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_xlfn.XLOOKUP(D475,products!$A$1:$A$49,products!$B$1:$B$49,,0)</f>
        <v>Ara</v>
      </c>
      <c r="J475" t="str">
        <f>_xlfn.XLOOKUP(D475,products!$A$1:$A$49,products!$C$1:$C$49,,0)</f>
        <v>L</v>
      </c>
      <c r="K475" s="7">
        <f>_xlfn.XLOOKUP(D475,products!$A$1:$A$49,products!$D$1:$D$49,,0)</f>
        <v>1</v>
      </c>
      <c r="L475" s="9">
        <f>_xlfn.XLOOKUP(D475,products!$A$1:$A$49,products!$E$1:$E$49,,0)</f>
        <v>12.95</v>
      </c>
      <c r="M475" s="9">
        <f t="shared" si="7"/>
        <v>25.9</v>
      </c>
      <c r="N475" s="3" t="str" cm="1">
        <f t="array" ref="N475">_xlfn.SWITCH(I475,
"Rob","Robusta",
"Exc","Excelsa",
"Ara","Arabica",
"Lib","Liberica",
"")</f>
        <v>Arabica</v>
      </c>
      <c r="O475" t="str" cm="1">
        <f t="array" ref="O475">_xlfn.SWITCH(J475,
"M","Medium",
"L","Light",
"D","Dark",
"")</f>
        <v>Light</v>
      </c>
      <c r="P475" t="str">
        <f>_xlfn.XLOOKUP(Orders[[#This Row],[Customer ID]],customers!$A$1:$A$1001,customers!$I$1:$I$1001,,0)</f>
        <v>No</v>
      </c>
    </row>
    <row r="476" spans="1:16" x14ac:dyDescent="0.35">
      <c r="A476" s="2" t="s">
        <v>3170</v>
      </c>
      <c r="B476" s="4">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_xlfn.XLOOKUP(D476,products!$A$1:$A$49,products!$B$1:$B$49,,0)</f>
        <v>Exc</v>
      </c>
      <c r="J476" t="str">
        <f>_xlfn.XLOOKUP(D476,products!$A$1:$A$49,products!$C$1:$C$49,,0)</f>
        <v>M</v>
      </c>
      <c r="K476" s="7">
        <f>_xlfn.XLOOKUP(D476,products!$A$1:$A$49,products!$D$1:$D$49,,0)</f>
        <v>2.5</v>
      </c>
      <c r="L476" s="9">
        <f>_xlfn.XLOOKUP(D476,products!$A$1:$A$49,products!$E$1:$E$49,,0)</f>
        <v>31.624999999999996</v>
      </c>
      <c r="M476" s="9">
        <f t="shared" si="7"/>
        <v>31.624999999999996</v>
      </c>
      <c r="N476" s="3" t="str" cm="1">
        <f t="array" ref="N476">_xlfn.SWITCH(I476,
"Rob","Robusta",
"Exc","Excelsa",
"Ara","Arabica",
"Lib","Liberica",
"")</f>
        <v>Excelsa</v>
      </c>
      <c r="O476" t="str" cm="1">
        <f t="array" ref="O476">_xlfn.SWITCH(J476,
"M","Medium",
"L","Light",
"D","Dark",
"")</f>
        <v>Medium</v>
      </c>
      <c r="P476" t="str">
        <f>_xlfn.XLOOKUP(Orders[[#This Row],[Customer ID]],customers!$A$1:$A$1001,customers!$I$1:$I$1001,,0)</f>
        <v>Yes</v>
      </c>
    </row>
    <row r="477" spans="1:16" x14ac:dyDescent="0.35">
      <c r="A477" s="2" t="s">
        <v>3176</v>
      </c>
      <c r="B477" s="4">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_xlfn.XLOOKUP(D477,products!$A$1:$A$49,products!$B$1:$B$49,,0)</f>
        <v>Lib</v>
      </c>
      <c r="J477" t="str">
        <f>_xlfn.XLOOKUP(D477,products!$A$1:$A$49,products!$C$1:$C$49,,0)</f>
        <v>M</v>
      </c>
      <c r="K477" s="7">
        <f>_xlfn.XLOOKUP(D477,products!$A$1:$A$49,products!$D$1:$D$49,,0)</f>
        <v>0.2</v>
      </c>
      <c r="L477" s="9">
        <f>_xlfn.XLOOKUP(D477,products!$A$1:$A$49,products!$E$1:$E$49,,0)</f>
        <v>4.3650000000000002</v>
      </c>
      <c r="M477" s="9">
        <f t="shared" si="7"/>
        <v>8.73</v>
      </c>
      <c r="N477" s="3" t="str" cm="1">
        <f t="array" ref="N477">_xlfn.SWITCH(I477,
"Rob","Robusta",
"Exc","Excelsa",
"Ara","Arabica",
"Lib","Liberica",
"")</f>
        <v>Liberica</v>
      </c>
      <c r="O477" t="str" cm="1">
        <f t="array" ref="O477">_xlfn.SWITCH(J477,
"M","Medium",
"L","Light",
"D","Dark",
"")</f>
        <v>Medium</v>
      </c>
      <c r="P477" t="str">
        <f>_xlfn.XLOOKUP(Orders[[#This Row],[Customer ID]],customers!$A$1:$A$1001,customers!$I$1:$I$1001,,0)</f>
        <v>No</v>
      </c>
    </row>
    <row r="478" spans="1:16" x14ac:dyDescent="0.35">
      <c r="A478" s="2" t="s">
        <v>3181</v>
      </c>
      <c r="B478" s="4">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_xlfn.XLOOKUP(D478,products!$A$1:$A$49,products!$B$1:$B$49,,0)</f>
        <v>Exc</v>
      </c>
      <c r="J478" t="str">
        <f>_xlfn.XLOOKUP(D478,products!$A$1:$A$49,products!$C$1:$C$49,,0)</f>
        <v>L</v>
      </c>
      <c r="K478" s="7">
        <f>_xlfn.XLOOKUP(D478,products!$A$1:$A$49,products!$D$1:$D$49,,0)</f>
        <v>0.2</v>
      </c>
      <c r="L478" s="9">
        <f>_xlfn.XLOOKUP(D478,products!$A$1:$A$49,products!$E$1:$E$49,,0)</f>
        <v>4.4550000000000001</v>
      </c>
      <c r="M478" s="9">
        <f t="shared" si="7"/>
        <v>26.73</v>
      </c>
      <c r="N478" s="3" t="str" cm="1">
        <f t="array" ref="N478">_xlfn.SWITCH(I478,
"Rob","Robusta",
"Exc","Excelsa",
"Ara","Arabica",
"Lib","Liberica",
"")</f>
        <v>Excelsa</v>
      </c>
      <c r="O478" t="str" cm="1">
        <f t="array" ref="O478">_xlfn.SWITCH(J478,
"M","Medium",
"L","Light",
"D","Dark",
"")</f>
        <v>Light</v>
      </c>
      <c r="P478" t="str">
        <f>_xlfn.XLOOKUP(Orders[[#This Row],[Customer ID]],customers!$A$1:$A$1001,customers!$I$1:$I$1001,,0)</f>
        <v>Yes</v>
      </c>
    </row>
    <row r="479" spans="1:16" x14ac:dyDescent="0.35">
      <c r="A479" s="2" t="s">
        <v>3187</v>
      </c>
      <c r="B479" s="4">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_xlfn.XLOOKUP(D479,products!$A$1:$A$49,products!$B$1:$B$49,,0)</f>
        <v>Lib</v>
      </c>
      <c r="J479" t="str">
        <f>_xlfn.XLOOKUP(D479,products!$A$1:$A$49,products!$C$1:$C$49,,0)</f>
        <v>M</v>
      </c>
      <c r="K479" s="7">
        <f>_xlfn.XLOOKUP(D479,products!$A$1:$A$49,products!$D$1:$D$49,,0)</f>
        <v>0.2</v>
      </c>
      <c r="L479" s="9">
        <f>_xlfn.XLOOKUP(D479,products!$A$1:$A$49,products!$E$1:$E$49,,0)</f>
        <v>4.3650000000000002</v>
      </c>
      <c r="M479" s="9">
        <f t="shared" si="7"/>
        <v>26.19</v>
      </c>
      <c r="N479" s="3" t="str" cm="1">
        <f t="array" ref="N479">_xlfn.SWITCH(I479,
"Rob","Robusta",
"Exc","Excelsa",
"Ara","Arabica",
"Lib","Liberica",
"")</f>
        <v>Liberica</v>
      </c>
      <c r="O479" t="str" cm="1">
        <f t="array" ref="O479">_xlfn.SWITCH(J479,
"M","Medium",
"L","Light",
"D","Dark",
"")</f>
        <v>Medium</v>
      </c>
      <c r="P479" t="str">
        <f>_xlfn.XLOOKUP(Orders[[#This Row],[Customer ID]],customers!$A$1:$A$1001,customers!$I$1:$I$1001,,0)</f>
        <v>No</v>
      </c>
    </row>
    <row r="480" spans="1:16" x14ac:dyDescent="0.35">
      <c r="A480" s="2" t="s">
        <v>3193</v>
      </c>
      <c r="B480" s="4">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_xlfn.XLOOKUP(D480,products!$A$1:$A$49,products!$B$1:$B$49,,0)</f>
        <v>Rob</v>
      </c>
      <c r="J480" t="str">
        <f>_xlfn.XLOOKUP(D480,products!$A$1:$A$49,products!$C$1:$C$49,,0)</f>
        <v>D</v>
      </c>
      <c r="K480" s="7">
        <f>_xlfn.XLOOKUP(D480,products!$A$1:$A$49,products!$D$1:$D$49,,0)</f>
        <v>1</v>
      </c>
      <c r="L480" s="9">
        <f>_xlfn.XLOOKUP(D480,products!$A$1:$A$49,products!$E$1:$E$49,,0)</f>
        <v>8.9499999999999993</v>
      </c>
      <c r="M480" s="9">
        <f t="shared" si="7"/>
        <v>53.699999999999996</v>
      </c>
      <c r="N480" s="3" t="str" cm="1">
        <f t="array" ref="N480">_xlfn.SWITCH(I480,
"Rob","Robusta",
"Exc","Excelsa",
"Ara","Arabica",
"Lib","Liberica",
"")</f>
        <v>Robusta</v>
      </c>
      <c r="O480" t="str" cm="1">
        <f t="array" ref="O480">_xlfn.SWITCH(J480,
"M","Medium",
"L","Light",
"D","Dark",
"")</f>
        <v>Dark</v>
      </c>
      <c r="P480" t="str">
        <f>_xlfn.XLOOKUP(Orders[[#This Row],[Customer ID]],customers!$A$1:$A$1001,customers!$I$1:$I$1001,,0)</f>
        <v>Yes</v>
      </c>
    </row>
    <row r="481" spans="1:16" x14ac:dyDescent="0.35">
      <c r="A481" s="2" t="s">
        <v>3193</v>
      </c>
      <c r="B481" s="4">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_xlfn.XLOOKUP(D481,products!$A$1:$A$49,products!$B$1:$B$49,,0)</f>
        <v>Exc</v>
      </c>
      <c r="J481" t="str">
        <f>_xlfn.XLOOKUP(D481,products!$A$1:$A$49,products!$C$1:$C$49,,0)</f>
        <v>M</v>
      </c>
      <c r="K481" s="7">
        <f>_xlfn.XLOOKUP(D481,products!$A$1:$A$49,products!$D$1:$D$49,,0)</f>
        <v>2.5</v>
      </c>
      <c r="L481" s="9">
        <f>_xlfn.XLOOKUP(D481,products!$A$1:$A$49,products!$E$1:$E$49,,0)</f>
        <v>31.624999999999996</v>
      </c>
      <c r="M481" s="9">
        <f t="shared" si="7"/>
        <v>126.49999999999999</v>
      </c>
      <c r="N481" s="3" t="str" cm="1">
        <f t="array" ref="N481">_xlfn.SWITCH(I481,
"Rob","Robusta",
"Exc","Excelsa",
"Ara","Arabica",
"Lib","Liberica",
"")</f>
        <v>Excelsa</v>
      </c>
      <c r="O481" t="str" cm="1">
        <f t="array" ref="O481">_xlfn.SWITCH(J481,
"M","Medium",
"L","Light",
"D","Dark",
"")</f>
        <v>Medium</v>
      </c>
      <c r="P481" t="str">
        <f>_xlfn.XLOOKUP(Orders[[#This Row],[Customer ID]],customers!$A$1:$A$1001,customers!$I$1:$I$1001,,0)</f>
        <v>Yes</v>
      </c>
    </row>
    <row r="482" spans="1:16" x14ac:dyDescent="0.35">
      <c r="A482" s="2" t="s">
        <v>3193</v>
      </c>
      <c r="B482" s="4">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_xlfn.XLOOKUP(D482,products!$A$1:$A$49,products!$B$1:$B$49,,0)</f>
        <v>Exc</v>
      </c>
      <c r="J482" t="str">
        <f>_xlfn.XLOOKUP(D482,products!$A$1:$A$49,products!$C$1:$C$49,,0)</f>
        <v>M</v>
      </c>
      <c r="K482" s="7">
        <f>_xlfn.XLOOKUP(D482,products!$A$1:$A$49,products!$D$1:$D$49,,0)</f>
        <v>0.2</v>
      </c>
      <c r="L482" s="9">
        <f>_xlfn.XLOOKUP(D482,products!$A$1:$A$49,products!$E$1:$E$49,,0)</f>
        <v>4.125</v>
      </c>
      <c r="M482" s="9">
        <f t="shared" si="7"/>
        <v>4.125</v>
      </c>
      <c r="N482" s="3" t="str" cm="1">
        <f t="array" ref="N482">_xlfn.SWITCH(I482,
"Rob","Robusta",
"Exc","Excelsa",
"Ara","Arabica",
"Lib","Liberica",
"")</f>
        <v>Excelsa</v>
      </c>
      <c r="O482" t="str" cm="1">
        <f t="array" ref="O482">_xlfn.SWITCH(J482,
"M","Medium",
"L","Light",
"D","Dark",
"")</f>
        <v>Medium</v>
      </c>
      <c r="P482" t="str">
        <f>_xlfn.XLOOKUP(Orders[[#This Row],[Customer ID]],customers!$A$1:$A$1001,customers!$I$1:$I$1001,,0)</f>
        <v>Yes</v>
      </c>
    </row>
    <row r="483" spans="1:16" x14ac:dyDescent="0.35">
      <c r="A483" s="2" t="s">
        <v>3208</v>
      </c>
      <c r="B483" s="4">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_xlfn.XLOOKUP(D483,products!$A$1:$A$49,products!$B$1:$B$49,,0)</f>
        <v>Rob</v>
      </c>
      <c r="J483" t="str">
        <f>_xlfn.XLOOKUP(D483,products!$A$1:$A$49,products!$C$1:$C$49,,0)</f>
        <v>L</v>
      </c>
      <c r="K483" s="7">
        <f>_xlfn.XLOOKUP(D483,products!$A$1:$A$49,products!$D$1:$D$49,,0)</f>
        <v>1</v>
      </c>
      <c r="L483" s="9">
        <f>_xlfn.XLOOKUP(D483,products!$A$1:$A$49,products!$E$1:$E$49,,0)</f>
        <v>11.95</v>
      </c>
      <c r="M483" s="9">
        <f t="shared" si="7"/>
        <v>23.9</v>
      </c>
      <c r="N483" s="3" t="str" cm="1">
        <f t="array" ref="N483">_xlfn.SWITCH(I483,
"Rob","Robusta",
"Exc","Excelsa",
"Ara","Arabica",
"Lib","Liberica",
"")</f>
        <v>Robusta</v>
      </c>
      <c r="O483" t="str" cm="1">
        <f t="array" ref="O483">_xlfn.SWITCH(J483,
"M","Medium",
"L","Light",
"D","Dark",
"")</f>
        <v>Light</v>
      </c>
      <c r="P483" t="str">
        <f>_xlfn.XLOOKUP(Orders[[#This Row],[Customer ID]],customers!$A$1:$A$1001,customers!$I$1:$I$1001,,0)</f>
        <v>No</v>
      </c>
    </row>
    <row r="484" spans="1:16" x14ac:dyDescent="0.35">
      <c r="A484" s="2" t="s">
        <v>3214</v>
      </c>
      <c r="B484" s="4">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_xlfn.XLOOKUP(D484,products!$A$1:$A$49,products!$B$1:$B$49,,0)</f>
        <v>Exc</v>
      </c>
      <c r="J484" t="str">
        <f>_xlfn.XLOOKUP(D484,products!$A$1:$A$49,products!$C$1:$C$49,,0)</f>
        <v>D</v>
      </c>
      <c r="K484" s="7">
        <f>_xlfn.XLOOKUP(D484,products!$A$1:$A$49,products!$D$1:$D$49,,0)</f>
        <v>2.5</v>
      </c>
      <c r="L484" s="9">
        <f>_xlfn.XLOOKUP(D484,products!$A$1:$A$49,products!$E$1:$E$49,,0)</f>
        <v>27.945</v>
      </c>
      <c r="M484" s="9">
        <f t="shared" si="7"/>
        <v>139.72499999999999</v>
      </c>
      <c r="N484" s="3" t="str" cm="1">
        <f t="array" ref="N484">_xlfn.SWITCH(I484,
"Rob","Robusta",
"Exc","Excelsa",
"Ara","Arabica",
"Lib","Liberica",
"")</f>
        <v>Excelsa</v>
      </c>
      <c r="O484" t="str" cm="1">
        <f t="array" ref="O484">_xlfn.SWITCH(J484,
"M","Medium",
"L","Light",
"D","Dark",
"")</f>
        <v>Dark</v>
      </c>
      <c r="P484" t="str">
        <f>_xlfn.XLOOKUP(Orders[[#This Row],[Customer ID]],customers!$A$1:$A$1001,customers!$I$1:$I$1001,,0)</f>
        <v>Yes</v>
      </c>
    </row>
    <row r="485" spans="1:16" x14ac:dyDescent="0.35">
      <c r="A485" s="2" t="s">
        <v>3220</v>
      </c>
      <c r="B485" s="4">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_xlfn.XLOOKUP(D485,products!$A$1:$A$49,products!$B$1:$B$49,,0)</f>
        <v>Lib</v>
      </c>
      <c r="J485" t="str">
        <f>_xlfn.XLOOKUP(D485,products!$A$1:$A$49,products!$C$1:$C$49,,0)</f>
        <v>D</v>
      </c>
      <c r="K485" s="7">
        <f>_xlfn.XLOOKUP(D485,products!$A$1:$A$49,products!$D$1:$D$49,,0)</f>
        <v>2.5</v>
      </c>
      <c r="L485" s="9">
        <f>_xlfn.XLOOKUP(D485,products!$A$1:$A$49,products!$E$1:$E$49,,0)</f>
        <v>29.784999999999997</v>
      </c>
      <c r="M485" s="9">
        <f t="shared" si="7"/>
        <v>59.569999999999993</v>
      </c>
      <c r="N485" s="3" t="str" cm="1">
        <f t="array" ref="N485">_xlfn.SWITCH(I485,
"Rob","Robusta",
"Exc","Excelsa",
"Ara","Arabica",
"Lib","Liberica",
"")</f>
        <v>Liberica</v>
      </c>
      <c r="O485" t="str" cm="1">
        <f t="array" ref="O485">_xlfn.SWITCH(J485,
"M","Medium",
"L","Light",
"D","Dark",
"")</f>
        <v>Dark</v>
      </c>
      <c r="P485" t="str">
        <f>_xlfn.XLOOKUP(Orders[[#This Row],[Customer ID]],customers!$A$1:$A$1001,customers!$I$1:$I$1001,,0)</f>
        <v>Yes</v>
      </c>
    </row>
    <row r="486" spans="1:16" x14ac:dyDescent="0.35">
      <c r="A486" s="2" t="s">
        <v>3225</v>
      </c>
      <c r="B486" s="4">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_xlfn.XLOOKUP(D486,products!$A$1:$A$49,products!$B$1:$B$49,,0)</f>
        <v>Lib</v>
      </c>
      <c r="J486" t="str">
        <f>_xlfn.XLOOKUP(D486,products!$A$1:$A$49,products!$C$1:$C$49,,0)</f>
        <v>L</v>
      </c>
      <c r="K486" s="7">
        <f>_xlfn.XLOOKUP(D486,products!$A$1:$A$49,products!$D$1:$D$49,,0)</f>
        <v>0.5</v>
      </c>
      <c r="L486" s="9">
        <f>_xlfn.XLOOKUP(D486,products!$A$1:$A$49,products!$E$1:$E$49,,0)</f>
        <v>9.51</v>
      </c>
      <c r="M486" s="9">
        <f t="shared" si="7"/>
        <v>57.06</v>
      </c>
      <c r="N486" s="3" t="str" cm="1">
        <f t="array" ref="N486">_xlfn.SWITCH(I486,
"Rob","Robusta",
"Exc","Excelsa",
"Ara","Arabica",
"Lib","Liberica",
"")</f>
        <v>Liberica</v>
      </c>
      <c r="O486" t="str" cm="1">
        <f t="array" ref="O486">_xlfn.SWITCH(J486,
"M","Medium",
"L","Light",
"D","Dark",
"")</f>
        <v>Light</v>
      </c>
      <c r="P486" t="str">
        <f>_xlfn.XLOOKUP(Orders[[#This Row],[Customer ID]],customers!$A$1:$A$1001,customers!$I$1:$I$1001,,0)</f>
        <v>No</v>
      </c>
    </row>
    <row r="487" spans="1:16" x14ac:dyDescent="0.35">
      <c r="A487" s="2" t="s">
        <v>3230</v>
      </c>
      <c r="B487" s="4">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_xlfn.XLOOKUP(D487,products!$A$1:$A$49,products!$B$1:$B$49,,0)</f>
        <v>Rob</v>
      </c>
      <c r="J487" t="str">
        <f>_xlfn.XLOOKUP(D487,products!$A$1:$A$49,products!$C$1:$C$49,,0)</f>
        <v>L</v>
      </c>
      <c r="K487" s="7">
        <f>_xlfn.XLOOKUP(D487,products!$A$1:$A$49,products!$D$1:$D$49,,0)</f>
        <v>0.2</v>
      </c>
      <c r="L487" s="9">
        <f>_xlfn.XLOOKUP(D487,products!$A$1:$A$49,products!$E$1:$E$49,,0)</f>
        <v>3.5849999999999995</v>
      </c>
      <c r="M487" s="9">
        <f t="shared" si="7"/>
        <v>21.509999999999998</v>
      </c>
      <c r="N487" s="3" t="str" cm="1">
        <f t="array" ref="N487">_xlfn.SWITCH(I487,
"Rob","Robusta",
"Exc","Excelsa",
"Ara","Arabica",
"Lib","Liberica",
"")</f>
        <v>Robusta</v>
      </c>
      <c r="O487" t="str" cm="1">
        <f t="array" ref="O487">_xlfn.SWITCH(J487,
"M","Medium",
"L","Light",
"D","Dark",
"")</f>
        <v>Light</v>
      </c>
      <c r="P487" t="str">
        <f>_xlfn.XLOOKUP(Orders[[#This Row],[Customer ID]],customers!$A$1:$A$1001,customers!$I$1:$I$1001,,0)</f>
        <v>Yes</v>
      </c>
    </row>
    <row r="488" spans="1:16" x14ac:dyDescent="0.35">
      <c r="A488" s="2" t="s">
        <v>3236</v>
      </c>
      <c r="B488" s="4">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_xlfn.XLOOKUP(D488,products!$A$1:$A$49,products!$B$1:$B$49,,0)</f>
        <v>Lib</v>
      </c>
      <c r="J488" t="str">
        <f>_xlfn.XLOOKUP(D488,products!$A$1:$A$49,products!$C$1:$C$49,,0)</f>
        <v>M</v>
      </c>
      <c r="K488" s="7">
        <f>_xlfn.XLOOKUP(D488,products!$A$1:$A$49,products!$D$1:$D$49,,0)</f>
        <v>0.5</v>
      </c>
      <c r="L488" s="9">
        <f>_xlfn.XLOOKUP(D488,products!$A$1:$A$49,products!$E$1:$E$49,,0)</f>
        <v>8.73</v>
      </c>
      <c r="M488" s="9">
        <f t="shared" si="7"/>
        <v>52.38</v>
      </c>
      <c r="N488" s="3" t="str" cm="1">
        <f t="array" ref="N488">_xlfn.SWITCH(I488,
"Rob","Robusta",
"Exc","Excelsa",
"Ara","Arabica",
"Lib","Liberica",
"")</f>
        <v>Liberica</v>
      </c>
      <c r="O488" t="str" cm="1">
        <f t="array" ref="O488">_xlfn.SWITCH(J488,
"M","Medium",
"L","Light",
"D","Dark",
"")</f>
        <v>Medium</v>
      </c>
      <c r="P488" t="str">
        <f>_xlfn.XLOOKUP(Orders[[#This Row],[Customer ID]],customers!$A$1:$A$1001,customers!$I$1:$I$1001,,0)</f>
        <v>Yes</v>
      </c>
    </row>
    <row r="489" spans="1:16" x14ac:dyDescent="0.35">
      <c r="A489" s="2" t="s">
        <v>3242</v>
      </c>
      <c r="B489" s="4">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_xlfn.XLOOKUP(D489,products!$A$1:$A$49,products!$B$1:$B$49,,0)</f>
        <v>Exc</v>
      </c>
      <c r="J489" t="str">
        <f>_xlfn.XLOOKUP(D489,products!$A$1:$A$49,products!$C$1:$C$49,,0)</f>
        <v>D</v>
      </c>
      <c r="K489" s="7">
        <f>_xlfn.XLOOKUP(D489,products!$A$1:$A$49,products!$D$1:$D$49,,0)</f>
        <v>1</v>
      </c>
      <c r="L489" s="9">
        <f>_xlfn.XLOOKUP(D489,products!$A$1:$A$49,products!$E$1:$E$49,,0)</f>
        <v>12.15</v>
      </c>
      <c r="M489" s="9">
        <f t="shared" si="7"/>
        <v>72.900000000000006</v>
      </c>
      <c r="N489" s="3" t="str" cm="1">
        <f t="array" ref="N489">_xlfn.SWITCH(I489,
"Rob","Robusta",
"Exc","Excelsa",
"Ara","Arabica",
"Lib","Liberica",
"")</f>
        <v>Excelsa</v>
      </c>
      <c r="O489" t="str" cm="1">
        <f t="array" ref="O489">_xlfn.SWITCH(J489,
"M","Medium",
"L","Light",
"D","Dark",
"")</f>
        <v>Dark</v>
      </c>
      <c r="P489" t="str">
        <f>_xlfn.XLOOKUP(Orders[[#This Row],[Customer ID]],customers!$A$1:$A$1001,customers!$I$1:$I$1001,,0)</f>
        <v>No</v>
      </c>
    </row>
    <row r="490" spans="1:16" x14ac:dyDescent="0.35">
      <c r="A490" s="2" t="s">
        <v>3248</v>
      </c>
      <c r="B490" s="4">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_xlfn.XLOOKUP(D490,products!$A$1:$A$49,products!$B$1:$B$49,,0)</f>
        <v>Rob</v>
      </c>
      <c r="J490" t="str">
        <f>_xlfn.XLOOKUP(D490,products!$A$1:$A$49,products!$C$1:$C$49,,0)</f>
        <v>M</v>
      </c>
      <c r="K490" s="7">
        <f>_xlfn.XLOOKUP(D490,products!$A$1:$A$49,products!$D$1:$D$49,,0)</f>
        <v>0.2</v>
      </c>
      <c r="L490" s="9">
        <f>_xlfn.XLOOKUP(D490,products!$A$1:$A$49,products!$E$1:$E$49,,0)</f>
        <v>2.9849999999999999</v>
      </c>
      <c r="M490" s="9">
        <f t="shared" si="7"/>
        <v>14.924999999999999</v>
      </c>
      <c r="N490" s="3" t="str" cm="1">
        <f t="array" ref="N490">_xlfn.SWITCH(I490,
"Rob","Robusta",
"Exc","Excelsa",
"Ara","Arabica",
"Lib","Liberica",
"")</f>
        <v>Robusta</v>
      </c>
      <c r="O490" t="str" cm="1">
        <f t="array" ref="O490">_xlfn.SWITCH(J490,
"M","Medium",
"L","Light",
"D","Dark",
"")</f>
        <v>Medium</v>
      </c>
      <c r="P490" t="str">
        <f>_xlfn.XLOOKUP(Orders[[#This Row],[Customer ID]],customers!$A$1:$A$1001,customers!$I$1:$I$1001,,0)</f>
        <v>Yes</v>
      </c>
    </row>
    <row r="491" spans="1:16" x14ac:dyDescent="0.35">
      <c r="A491" s="2" t="s">
        <v>3254</v>
      </c>
      <c r="B491" s="4">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_xlfn.XLOOKUP(D491,products!$A$1:$A$49,products!$B$1:$B$49,,0)</f>
        <v>Lib</v>
      </c>
      <c r="J491" t="str">
        <f>_xlfn.XLOOKUP(D491,products!$A$1:$A$49,products!$C$1:$C$49,,0)</f>
        <v>L</v>
      </c>
      <c r="K491" s="7">
        <f>_xlfn.XLOOKUP(D491,products!$A$1:$A$49,products!$D$1:$D$49,,0)</f>
        <v>1</v>
      </c>
      <c r="L491" s="9">
        <f>_xlfn.XLOOKUP(D491,products!$A$1:$A$49,products!$E$1:$E$49,,0)</f>
        <v>15.85</v>
      </c>
      <c r="M491" s="9">
        <f t="shared" si="7"/>
        <v>95.1</v>
      </c>
      <c r="N491" s="3" t="str" cm="1">
        <f t="array" ref="N491">_xlfn.SWITCH(I491,
"Rob","Robusta",
"Exc","Excelsa",
"Ara","Arabica",
"Lib","Liberica",
"")</f>
        <v>Liberica</v>
      </c>
      <c r="O491" t="str" cm="1">
        <f t="array" ref="O491">_xlfn.SWITCH(J491,
"M","Medium",
"L","Light",
"D","Dark",
"")</f>
        <v>Light</v>
      </c>
      <c r="P491" t="str">
        <f>_xlfn.XLOOKUP(Orders[[#This Row],[Customer ID]],customers!$A$1:$A$1001,customers!$I$1:$I$1001,,0)</f>
        <v>No</v>
      </c>
    </row>
    <row r="492" spans="1:16" x14ac:dyDescent="0.35">
      <c r="A492" s="2" t="s">
        <v>3260</v>
      </c>
      <c r="B492" s="4">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_xlfn.XLOOKUP(D492,products!$A$1:$A$49,products!$B$1:$B$49,,0)</f>
        <v>Lib</v>
      </c>
      <c r="J492" t="str">
        <f>_xlfn.XLOOKUP(D492,products!$A$1:$A$49,products!$C$1:$C$49,,0)</f>
        <v>D</v>
      </c>
      <c r="K492" s="7">
        <f>_xlfn.XLOOKUP(D492,products!$A$1:$A$49,products!$D$1:$D$49,,0)</f>
        <v>0.5</v>
      </c>
      <c r="L492" s="9">
        <f>_xlfn.XLOOKUP(D492,products!$A$1:$A$49,products!$E$1:$E$49,,0)</f>
        <v>7.77</v>
      </c>
      <c r="M492" s="9">
        <f t="shared" si="7"/>
        <v>15.54</v>
      </c>
      <c r="N492" s="3" t="str" cm="1">
        <f t="array" ref="N492">_xlfn.SWITCH(I492,
"Rob","Robusta",
"Exc","Excelsa",
"Ara","Arabica",
"Lib","Liberica",
"")</f>
        <v>Liberica</v>
      </c>
      <c r="O492" t="str" cm="1">
        <f t="array" ref="O492">_xlfn.SWITCH(J492,
"M","Medium",
"L","Light",
"D","Dark",
"")</f>
        <v>Dark</v>
      </c>
      <c r="P492" t="str">
        <f>_xlfn.XLOOKUP(Orders[[#This Row],[Customer ID]],customers!$A$1:$A$1001,customers!$I$1:$I$1001,,0)</f>
        <v>No</v>
      </c>
    </row>
    <row r="493" spans="1:16" x14ac:dyDescent="0.35">
      <c r="A493" s="2" t="s">
        <v>3266</v>
      </c>
      <c r="B493" s="4">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_xlfn.XLOOKUP(D493,products!$A$1:$A$49,products!$B$1:$B$49,,0)</f>
        <v>Lib</v>
      </c>
      <c r="J493" t="str">
        <f>_xlfn.XLOOKUP(D493,products!$A$1:$A$49,products!$C$1:$C$49,,0)</f>
        <v>D</v>
      </c>
      <c r="K493" s="7">
        <f>_xlfn.XLOOKUP(D493,products!$A$1:$A$49,products!$D$1:$D$49,,0)</f>
        <v>0.2</v>
      </c>
      <c r="L493" s="9">
        <f>_xlfn.XLOOKUP(D493,products!$A$1:$A$49,products!$E$1:$E$49,,0)</f>
        <v>3.8849999999999998</v>
      </c>
      <c r="M493" s="9">
        <f t="shared" si="7"/>
        <v>23.31</v>
      </c>
      <c r="N493" s="3" t="str" cm="1">
        <f t="array" ref="N493">_xlfn.SWITCH(I493,
"Rob","Robusta",
"Exc","Excelsa",
"Ara","Arabica",
"Lib","Liberica",
"")</f>
        <v>Liberica</v>
      </c>
      <c r="O493" t="str" cm="1">
        <f t="array" ref="O493">_xlfn.SWITCH(J493,
"M","Medium",
"L","Light",
"D","Dark",
"")</f>
        <v>Dark</v>
      </c>
      <c r="P493" t="str">
        <f>_xlfn.XLOOKUP(Orders[[#This Row],[Customer ID]],customers!$A$1:$A$1001,customers!$I$1:$I$1001,,0)</f>
        <v>No</v>
      </c>
    </row>
    <row r="494" spans="1:16" x14ac:dyDescent="0.35">
      <c r="A494" s="2" t="s">
        <v>3271</v>
      </c>
      <c r="B494" s="4">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_xlfn.XLOOKUP(D494,products!$A$1:$A$49,products!$B$1:$B$49,,0)</f>
        <v>Exc</v>
      </c>
      <c r="J494" t="str">
        <f>_xlfn.XLOOKUP(D494,products!$A$1:$A$49,products!$C$1:$C$49,,0)</f>
        <v>M</v>
      </c>
      <c r="K494" s="7">
        <f>_xlfn.XLOOKUP(D494,products!$A$1:$A$49,products!$D$1:$D$49,,0)</f>
        <v>0.2</v>
      </c>
      <c r="L494" s="9">
        <f>_xlfn.XLOOKUP(D494,products!$A$1:$A$49,products!$E$1:$E$49,,0)</f>
        <v>4.125</v>
      </c>
      <c r="M494" s="9">
        <f t="shared" si="7"/>
        <v>4.125</v>
      </c>
      <c r="N494" s="3" t="str" cm="1">
        <f t="array" ref="N494">_xlfn.SWITCH(I494,
"Rob","Robusta",
"Exc","Excelsa",
"Ara","Arabica",
"Lib","Liberica",
"")</f>
        <v>Excelsa</v>
      </c>
      <c r="O494" t="str" cm="1">
        <f t="array" ref="O494">_xlfn.SWITCH(J494,
"M","Medium",
"L","Light",
"D","Dark",
"")</f>
        <v>Medium</v>
      </c>
      <c r="P494" t="str">
        <f>_xlfn.XLOOKUP(Orders[[#This Row],[Customer ID]],customers!$A$1:$A$1001,customers!$I$1:$I$1001,,0)</f>
        <v>Yes</v>
      </c>
    </row>
    <row r="495" spans="1:16" x14ac:dyDescent="0.35">
      <c r="A495" s="2" t="s">
        <v>3277</v>
      </c>
      <c r="B495" s="4">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_xlfn.XLOOKUP(D495,products!$A$1:$A$49,products!$B$1:$B$49,,0)</f>
        <v>Rob</v>
      </c>
      <c r="J495" t="str">
        <f>_xlfn.XLOOKUP(D495,products!$A$1:$A$49,products!$C$1:$C$49,,0)</f>
        <v>M</v>
      </c>
      <c r="K495" s="7">
        <f>_xlfn.XLOOKUP(D495,products!$A$1:$A$49,products!$D$1:$D$49,,0)</f>
        <v>0.5</v>
      </c>
      <c r="L495" s="9">
        <f>_xlfn.XLOOKUP(D495,products!$A$1:$A$49,products!$E$1:$E$49,,0)</f>
        <v>5.97</v>
      </c>
      <c r="M495" s="9">
        <f t="shared" si="7"/>
        <v>35.82</v>
      </c>
      <c r="N495" s="3" t="str" cm="1">
        <f t="array" ref="N495">_xlfn.SWITCH(I495,
"Rob","Robusta",
"Exc","Excelsa",
"Ara","Arabica",
"Lib","Liberica",
"")</f>
        <v>Robusta</v>
      </c>
      <c r="O495" t="str" cm="1">
        <f t="array" ref="O495">_xlfn.SWITCH(J495,
"M","Medium",
"L","Light",
"D","Dark",
"")</f>
        <v>Medium</v>
      </c>
      <c r="P495" t="str">
        <f>_xlfn.XLOOKUP(Orders[[#This Row],[Customer ID]],customers!$A$1:$A$1001,customers!$I$1:$I$1001,,0)</f>
        <v>No</v>
      </c>
    </row>
    <row r="496" spans="1:16" x14ac:dyDescent="0.35">
      <c r="A496" s="2" t="s">
        <v>3283</v>
      </c>
      <c r="B496" s="4">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_xlfn.XLOOKUP(D496,products!$A$1:$A$49,products!$B$1:$B$49,,0)</f>
        <v>Lib</v>
      </c>
      <c r="J496" t="str">
        <f>_xlfn.XLOOKUP(D496,products!$A$1:$A$49,products!$C$1:$C$49,,0)</f>
        <v>L</v>
      </c>
      <c r="K496" s="7">
        <f>_xlfn.XLOOKUP(D496,products!$A$1:$A$49,products!$D$1:$D$49,,0)</f>
        <v>1</v>
      </c>
      <c r="L496" s="9">
        <f>_xlfn.XLOOKUP(D496,products!$A$1:$A$49,products!$E$1:$E$49,,0)</f>
        <v>15.85</v>
      </c>
      <c r="M496" s="9">
        <f t="shared" si="7"/>
        <v>31.7</v>
      </c>
      <c r="N496" s="3" t="str" cm="1">
        <f t="array" ref="N496">_xlfn.SWITCH(I496,
"Rob","Robusta",
"Exc","Excelsa",
"Ara","Arabica",
"Lib","Liberica",
"")</f>
        <v>Liberica</v>
      </c>
      <c r="O496" t="str" cm="1">
        <f t="array" ref="O496">_xlfn.SWITCH(J496,
"M","Medium",
"L","Light",
"D","Dark",
"")</f>
        <v>Light</v>
      </c>
      <c r="P496" t="str">
        <f>_xlfn.XLOOKUP(Orders[[#This Row],[Customer ID]],customers!$A$1:$A$1001,customers!$I$1:$I$1001,,0)</f>
        <v>No</v>
      </c>
    </row>
    <row r="497" spans="1:16" x14ac:dyDescent="0.35">
      <c r="A497" s="2" t="s">
        <v>3289</v>
      </c>
      <c r="B497" s="4">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_xlfn.XLOOKUP(D497,products!$A$1:$A$49,products!$B$1:$B$49,,0)</f>
        <v>Lib</v>
      </c>
      <c r="J497" t="str">
        <f>_xlfn.XLOOKUP(D497,products!$A$1:$A$49,products!$C$1:$C$49,,0)</f>
        <v>L</v>
      </c>
      <c r="K497" s="7">
        <f>_xlfn.XLOOKUP(D497,products!$A$1:$A$49,products!$D$1:$D$49,,0)</f>
        <v>1</v>
      </c>
      <c r="L497" s="9">
        <f>_xlfn.XLOOKUP(D497,products!$A$1:$A$49,products!$E$1:$E$49,,0)</f>
        <v>15.85</v>
      </c>
      <c r="M497" s="9">
        <f t="shared" si="7"/>
        <v>79.25</v>
      </c>
      <c r="N497" s="3" t="str" cm="1">
        <f t="array" ref="N497">_xlfn.SWITCH(I497,
"Rob","Robusta",
"Exc","Excelsa",
"Ara","Arabica",
"Lib","Liberica",
"")</f>
        <v>Liberica</v>
      </c>
      <c r="O497" t="str" cm="1">
        <f t="array" ref="O497">_xlfn.SWITCH(J497,
"M","Medium",
"L","Light",
"D","Dark",
"")</f>
        <v>Light</v>
      </c>
      <c r="P497" t="str">
        <f>_xlfn.XLOOKUP(Orders[[#This Row],[Customer ID]],customers!$A$1:$A$1001,customers!$I$1:$I$1001,,0)</f>
        <v>Yes</v>
      </c>
    </row>
    <row r="498" spans="1:16" x14ac:dyDescent="0.35">
      <c r="A498" s="2" t="s">
        <v>3294</v>
      </c>
      <c r="B498" s="4">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_xlfn.XLOOKUP(D498,products!$A$1:$A$49,products!$B$1:$B$49,,0)</f>
        <v>Exc</v>
      </c>
      <c r="J498" t="str">
        <f>_xlfn.XLOOKUP(D498,products!$A$1:$A$49,products!$C$1:$C$49,,0)</f>
        <v>D</v>
      </c>
      <c r="K498" s="7">
        <f>_xlfn.XLOOKUP(D498,products!$A$1:$A$49,products!$D$1:$D$49,,0)</f>
        <v>0.2</v>
      </c>
      <c r="L498" s="9">
        <f>_xlfn.XLOOKUP(D498,products!$A$1:$A$49,products!$E$1:$E$49,,0)</f>
        <v>3.645</v>
      </c>
      <c r="M498" s="9">
        <f t="shared" si="7"/>
        <v>10.935</v>
      </c>
      <c r="N498" s="3" t="str" cm="1">
        <f t="array" ref="N498">_xlfn.SWITCH(I498,
"Rob","Robusta",
"Exc","Excelsa",
"Ara","Arabica",
"Lib","Liberica",
"")</f>
        <v>Excelsa</v>
      </c>
      <c r="O498" t="str" cm="1">
        <f t="array" ref="O498">_xlfn.SWITCH(J498,
"M","Medium",
"L","Light",
"D","Dark",
"")</f>
        <v>Dark</v>
      </c>
      <c r="P498" t="str">
        <f>_xlfn.XLOOKUP(Orders[[#This Row],[Customer ID]],customers!$A$1:$A$1001,customers!$I$1:$I$1001,,0)</f>
        <v>No</v>
      </c>
    </row>
    <row r="499" spans="1:16" x14ac:dyDescent="0.35">
      <c r="A499" s="2" t="s">
        <v>3300</v>
      </c>
      <c r="B499" s="4">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_xlfn.XLOOKUP(D499,products!$A$1:$A$49,products!$B$1:$B$49,,0)</f>
        <v>Ara</v>
      </c>
      <c r="J499" t="str">
        <f>_xlfn.XLOOKUP(D499,products!$A$1:$A$49,products!$C$1:$C$49,,0)</f>
        <v>D</v>
      </c>
      <c r="K499" s="7">
        <f>_xlfn.XLOOKUP(D499,products!$A$1:$A$49,products!$D$1:$D$49,,0)</f>
        <v>1</v>
      </c>
      <c r="L499" s="9">
        <f>_xlfn.XLOOKUP(D499,products!$A$1:$A$49,products!$E$1:$E$49,,0)</f>
        <v>9.9499999999999993</v>
      </c>
      <c r="M499" s="9">
        <f t="shared" si="7"/>
        <v>39.799999999999997</v>
      </c>
      <c r="N499" s="3" t="str" cm="1">
        <f t="array" ref="N499">_xlfn.SWITCH(I499,
"Rob","Robusta",
"Exc","Excelsa",
"Ara","Arabica",
"Lib","Liberica",
"")</f>
        <v>Arabica</v>
      </c>
      <c r="O499" t="str" cm="1">
        <f t="array" ref="O499">_xlfn.SWITCH(J499,
"M","Medium",
"L","Light",
"D","Dark",
"")</f>
        <v>Dark</v>
      </c>
      <c r="P499" t="str">
        <f>_xlfn.XLOOKUP(Orders[[#This Row],[Customer ID]],customers!$A$1:$A$1001,customers!$I$1:$I$1001,,0)</f>
        <v>No</v>
      </c>
    </row>
    <row r="500" spans="1:16" x14ac:dyDescent="0.35">
      <c r="A500" s="2" t="s">
        <v>3307</v>
      </c>
      <c r="B500" s="4">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_xlfn.XLOOKUP(D500,products!$A$1:$A$49,products!$B$1:$B$49,,0)</f>
        <v>Rob</v>
      </c>
      <c r="J500" t="str">
        <f>_xlfn.XLOOKUP(D500,products!$A$1:$A$49,products!$C$1:$C$49,,0)</f>
        <v>M</v>
      </c>
      <c r="K500" s="7">
        <f>_xlfn.XLOOKUP(D500,products!$A$1:$A$49,products!$D$1:$D$49,,0)</f>
        <v>1</v>
      </c>
      <c r="L500" s="9">
        <f>_xlfn.XLOOKUP(D500,products!$A$1:$A$49,products!$E$1:$E$49,,0)</f>
        <v>9.9499999999999993</v>
      </c>
      <c r="M500" s="9">
        <f t="shared" si="7"/>
        <v>49.75</v>
      </c>
      <c r="N500" s="3" t="str" cm="1">
        <f t="array" ref="N500">_xlfn.SWITCH(I500,
"Rob","Robusta",
"Exc","Excelsa",
"Ara","Arabica",
"Lib","Liberica",
"")</f>
        <v>Robusta</v>
      </c>
      <c r="O500" t="str" cm="1">
        <f t="array" ref="O500">_xlfn.SWITCH(J500,
"M","Medium",
"L","Light",
"D","Dark",
"")</f>
        <v>Medium</v>
      </c>
      <c r="P500" t="str">
        <f>_xlfn.XLOOKUP(Orders[[#This Row],[Customer ID]],customers!$A$1:$A$1001,customers!$I$1:$I$1001,,0)</f>
        <v>Yes</v>
      </c>
    </row>
    <row r="501" spans="1:16" x14ac:dyDescent="0.35">
      <c r="A501" s="2" t="s">
        <v>3313</v>
      </c>
      <c r="B501" s="4">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_xlfn.XLOOKUP(D501,products!$A$1:$A$49,products!$B$1:$B$49,,0)</f>
        <v>Rob</v>
      </c>
      <c r="J501" t="str">
        <f>_xlfn.XLOOKUP(D501,products!$A$1:$A$49,products!$C$1:$C$49,,0)</f>
        <v>D</v>
      </c>
      <c r="K501" s="7">
        <f>_xlfn.XLOOKUP(D501,products!$A$1:$A$49,products!$D$1:$D$49,,0)</f>
        <v>0.2</v>
      </c>
      <c r="L501" s="9">
        <f>_xlfn.XLOOKUP(D501,products!$A$1:$A$49,products!$E$1:$E$49,,0)</f>
        <v>2.6849999999999996</v>
      </c>
      <c r="M501" s="9">
        <f t="shared" si="7"/>
        <v>8.0549999999999997</v>
      </c>
      <c r="N501" s="3" t="str" cm="1">
        <f t="array" ref="N501">_xlfn.SWITCH(I501,
"Rob","Robusta",
"Exc","Excelsa",
"Ara","Arabica",
"Lib","Liberica",
"")</f>
        <v>Robusta</v>
      </c>
      <c r="O501" t="str" cm="1">
        <f t="array" ref="O501">_xlfn.SWITCH(J501,
"M","Medium",
"L","Light",
"D","Dark",
"")</f>
        <v>Dark</v>
      </c>
      <c r="P501" t="str">
        <f>_xlfn.XLOOKUP(Orders[[#This Row],[Customer ID]],customers!$A$1:$A$1001,customers!$I$1:$I$1001,,0)</f>
        <v>Yes</v>
      </c>
    </row>
    <row r="502" spans="1:16" x14ac:dyDescent="0.35">
      <c r="A502" s="2" t="s">
        <v>3318</v>
      </c>
      <c r="B502" s="4">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_xlfn.XLOOKUP(D502,products!$A$1:$A$49,products!$B$1:$B$49,,0)</f>
        <v>Rob</v>
      </c>
      <c r="J502" t="str">
        <f>_xlfn.XLOOKUP(D502,products!$A$1:$A$49,products!$C$1:$C$49,,0)</f>
        <v>L</v>
      </c>
      <c r="K502" s="7">
        <f>_xlfn.XLOOKUP(D502,products!$A$1:$A$49,products!$D$1:$D$49,,0)</f>
        <v>1</v>
      </c>
      <c r="L502" s="9">
        <f>_xlfn.XLOOKUP(D502,products!$A$1:$A$49,products!$E$1:$E$49,,0)</f>
        <v>11.95</v>
      </c>
      <c r="M502" s="9">
        <f t="shared" si="7"/>
        <v>47.8</v>
      </c>
      <c r="N502" s="3" t="str" cm="1">
        <f t="array" ref="N502">_xlfn.SWITCH(I502,
"Rob","Robusta",
"Exc","Excelsa",
"Ara","Arabica",
"Lib","Liberica",
"")</f>
        <v>Robusta</v>
      </c>
      <c r="O502" t="str" cm="1">
        <f t="array" ref="O502">_xlfn.SWITCH(J502,
"M","Medium",
"L","Light",
"D","Dark",
"")</f>
        <v>Light</v>
      </c>
      <c r="P502" t="str">
        <f>_xlfn.XLOOKUP(Orders[[#This Row],[Customer ID]],customers!$A$1:$A$1001,customers!$I$1:$I$1001,,0)</f>
        <v>No</v>
      </c>
    </row>
    <row r="503" spans="1:16" x14ac:dyDescent="0.35">
      <c r="A503" s="2" t="s">
        <v>3323</v>
      </c>
      <c r="B503" s="4">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_xlfn.XLOOKUP(D503,products!$A$1:$A$49,products!$B$1:$B$49,,0)</f>
        <v>Rob</v>
      </c>
      <c r="J503" t="str">
        <f>_xlfn.XLOOKUP(D503,products!$A$1:$A$49,products!$C$1:$C$49,,0)</f>
        <v>M</v>
      </c>
      <c r="K503" s="7">
        <f>_xlfn.XLOOKUP(D503,products!$A$1:$A$49,products!$D$1:$D$49,,0)</f>
        <v>0.2</v>
      </c>
      <c r="L503" s="9">
        <f>_xlfn.XLOOKUP(D503,products!$A$1:$A$49,products!$E$1:$E$49,,0)</f>
        <v>2.9849999999999999</v>
      </c>
      <c r="M503" s="9">
        <f t="shared" si="7"/>
        <v>11.94</v>
      </c>
      <c r="N503" s="3" t="str" cm="1">
        <f t="array" ref="N503">_xlfn.SWITCH(I503,
"Rob","Robusta",
"Exc","Excelsa",
"Ara","Arabica",
"Lib","Liberica",
"")</f>
        <v>Robusta</v>
      </c>
      <c r="O503" t="str" cm="1">
        <f t="array" ref="O503">_xlfn.SWITCH(J503,
"M","Medium",
"L","Light",
"D","Dark",
"")</f>
        <v>Medium</v>
      </c>
      <c r="P503" t="str">
        <f>_xlfn.XLOOKUP(Orders[[#This Row],[Customer ID]],customers!$A$1:$A$1001,customers!$I$1:$I$1001,,0)</f>
        <v>No</v>
      </c>
    </row>
    <row r="504" spans="1:16" x14ac:dyDescent="0.35">
      <c r="A504" s="2" t="s">
        <v>3323</v>
      </c>
      <c r="B504" s="4">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_xlfn.XLOOKUP(D504,products!$A$1:$A$49,products!$B$1:$B$49,,0)</f>
        <v>Exc</v>
      </c>
      <c r="J504" t="str">
        <f>_xlfn.XLOOKUP(D504,products!$A$1:$A$49,products!$C$1:$C$49,,0)</f>
        <v>M</v>
      </c>
      <c r="K504" s="7">
        <f>_xlfn.XLOOKUP(D504,products!$A$1:$A$49,products!$D$1:$D$49,,0)</f>
        <v>0.2</v>
      </c>
      <c r="L504" s="9">
        <f>_xlfn.XLOOKUP(D504,products!$A$1:$A$49,products!$E$1:$E$49,,0)</f>
        <v>4.125</v>
      </c>
      <c r="M504" s="9">
        <f t="shared" si="7"/>
        <v>16.5</v>
      </c>
      <c r="N504" s="3" t="str" cm="1">
        <f t="array" ref="N504">_xlfn.SWITCH(I504,
"Rob","Robusta",
"Exc","Excelsa",
"Ara","Arabica",
"Lib","Liberica",
"")</f>
        <v>Excelsa</v>
      </c>
      <c r="O504" t="str" cm="1">
        <f t="array" ref="O504">_xlfn.SWITCH(J504,
"M","Medium",
"L","Light",
"D","Dark",
"")</f>
        <v>Medium</v>
      </c>
      <c r="P504" t="str">
        <f>_xlfn.XLOOKUP(Orders[[#This Row],[Customer ID]],customers!$A$1:$A$1001,customers!$I$1:$I$1001,,0)</f>
        <v>No</v>
      </c>
    </row>
    <row r="505" spans="1:16" x14ac:dyDescent="0.35">
      <c r="A505" s="2" t="s">
        <v>3323</v>
      </c>
      <c r="B505" s="4">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_xlfn.XLOOKUP(D505,products!$A$1:$A$49,products!$B$1:$B$49,,0)</f>
        <v>Lib</v>
      </c>
      <c r="J505" t="str">
        <f>_xlfn.XLOOKUP(D505,products!$A$1:$A$49,products!$C$1:$C$49,,0)</f>
        <v>D</v>
      </c>
      <c r="K505" s="7">
        <f>_xlfn.XLOOKUP(D505,products!$A$1:$A$49,products!$D$1:$D$49,,0)</f>
        <v>1</v>
      </c>
      <c r="L505" s="9">
        <f>_xlfn.XLOOKUP(D505,products!$A$1:$A$49,products!$E$1:$E$49,,0)</f>
        <v>12.95</v>
      </c>
      <c r="M505" s="9">
        <f t="shared" si="7"/>
        <v>51.8</v>
      </c>
      <c r="N505" s="3" t="str" cm="1">
        <f t="array" ref="N505">_xlfn.SWITCH(I505,
"Rob","Robusta",
"Exc","Excelsa",
"Ara","Arabica",
"Lib","Liberica",
"")</f>
        <v>Liberica</v>
      </c>
      <c r="O505" t="str" cm="1">
        <f t="array" ref="O505">_xlfn.SWITCH(J505,
"M","Medium",
"L","Light",
"D","Dark",
"")</f>
        <v>Dark</v>
      </c>
      <c r="P505" t="str">
        <f>_xlfn.XLOOKUP(Orders[[#This Row],[Customer ID]],customers!$A$1:$A$1001,customers!$I$1:$I$1001,,0)</f>
        <v>No</v>
      </c>
    </row>
    <row r="506" spans="1:16" x14ac:dyDescent="0.35">
      <c r="A506" s="2" t="s">
        <v>3323</v>
      </c>
      <c r="B506" s="4">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_xlfn.XLOOKUP(D506,products!$A$1:$A$49,products!$B$1:$B$49,,0)</f>
        <v>Lib</v>
      </c>
      <c r="J506" t="str">
        <f>_xlfn.XLOOKUP(D506,products!$A$1:$A$49,products!$C$1:$C$49,,0)</f>
        <v>L</v>
      </c>
      <c r="K506" s="7">
        <f>_xlfn.XLOOKUP(D506,products!$A$1:$A$49,products!$D$1:$D$49,,0)</f>
        <v>0.2</v>
      </c>
      <c r="L506" s="9">
        <f>_xlfn.XLOOKUP(D506,products!$A$1:$A$49,products!$E$1:$E$49,,0)</f>
        <v>4.7549999999999999</v>
      </c>
      <c r="M506" s="9">
        <f t="shared" si="7"/>
        <v>14.265000000000001</v>
      </c>
      <c r="N506" s="3" t="str" cm="1">
        <f t="array" ref="N506">_xlfn.SWITCH(I506,
"Rob","Robusta",
"Exc","Excelsa",
"Ara","Arabica",
"Lib","Liberica",
"")</f>
        <v>Liberica</v>
      </c>
      <c r="O506" t="str" cm="1">
        <f t="array" ref="O506">_xlfn.SWITCH(J506,
"M","Medium",
"L","Light",
"D","Dark",
"")</f>
        <v>Light</v>
      </c>
      <c r="P506" t="str">
        <f>_xlfn.XLOOKUP(Orders[[#This Row],[Customer ID]],customers!$A$1:$A$1001,customers!$I$1:$I$1001,,0)</f>
        <v>No</v>
      </c>
    </row>
    <row r="507" spans="1:16" x14ac:dyDescent="0.35">
      <c r="A507" s="2" t="s">
        <v>3343</v>
      </c>
      <c r="B507" s="4">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_xlfn.XLOOKUP(D507,products!$A$1:$A$49,products!$B$1:$B$49,,0)</f>
        <v>Lib</v>
      </c>
      <c r="J507" t="str">
        <f>_xlfn.XLOOKUP(D507,products!$A$1:$A$49,products!$C$1:$C$49,,0)</f>
        <v>M</v>
      </c>
      <c r="K507" s="7">
        <f>_xlfn.XLOOKUP(D507,products!$A$1:$A$49,products!$D$1:$D$49,,0)</f>
        <v>0.2</v>
      </c>
      <c r="L507" s="9">
        <f>_xlfn.XLOOKUP(D507,products!$A$1:$A$49,products!$E$1:$E$49,,0)</f>
        <v>4.3650000000000002</v>
      </c>
      <c r="M507" s="9">
        <f t="shared" si="7"/>
        <v>26.19</v>
      </c>
      <c r="N507" s="3" t="str" cm="1">
        <f t="array" ref="N507">_xlfn.SWITCH(I507,
"Rob","Robusta",
"Exc","Excelsa",
"Ara","Arabica",
"Lib","Liberica",
"")</f>
        <v>Liberica</v>
      </c>
      <c r="O507" t="str" cm="1">
        <f t="array" ref="O507">_xlfn.SWITCH(J507,
"M","Medium",
"L","Light",
"D","Dark",
"")</f>
        <v>Medium</v>
      </c>
      <c r="P507" t="str">
        <f>_xlfn.XLOOKUP(Orders[[#This Row],[Customer ID]],customers!$A$1:$A$1001,customers!$I$1:$I$1001,,0)</f>
        <v>No</v>
      </c>
    </row>
    <row r="508" spans="1:16" x14ac:dyDescent="0.35">
      <c r="A508" s="2" t="s">
        <v>3349</v>
      </c>
      <c r="B508" s="4">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_xlfn.XLOOKUP(D508,products!$A$1:$A$49,products!$B$1:$B$49,,0)</f>
        <v>Ara</v>
      </c>
      <c r="J508" t="str">
        <f>_xlfn.XLOOKUP(D508,products!$A$1:$A$49,products!$C$1:$C$49,,0)</f>
        <v>L</v>
      </c>
      <c r="K508" s="7">
        <f>_xlfn.XLOOKUP(D508,products!$A$1:$A$49,products!$D$1:$D$49,,0)</f>
        <v>1</v>
      </c>
      <c r="L508" s="9">
        <f>_xlfn.XLOOKUP(D508,products!$A$1:$A$49,products!$E$1:$E$49,,0)</f>
        <v>12.95</v>
      </c>
      <c r="M508" s="9">
        <f t="shared" si="7"/>
        <v>25.9</v>
      </c>
      <c r="N508" s="3" t="str" cm="1">
        <f t="array" ref="N508">_xlfn.SWITCH(I508,
"Rob","Robusta",
"Exc","Excelsa",
"Ara","Arabica",
"Lib","Liberica",
"")</f>
        <v>Arabica</v>
      </c>
      <c r="O508" t="str" cm="1">
        <f t="array" ref="O508">_xlfn.SWITCH(J508,
"M","Medium",
"L","Light",
"D","Dark",
"")</f>
        <v>Light</v>
      </c>
      <c r="P508" t="str">
        <f>_xlfn.XLOOKUP(Orders[[#This Row],[Customer ID]],customers!$A$1:$A$1001,customers!$I$1:$I$1001,,0)</f>
        <v>Yes</v>
      </c>
    </row>
    <row r="509" spans="1:16" x14ac:dyDescent="0.35">
      <c r="A509" s="2" t="s">
        <v>3355</v>
      </c>
      <c r="B509" s="4">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_xlfn.XLOOKUP(D509,products!$A$1:$A$49,products!$B$1:$B$49,,0)</f>
        <v>Ara</v>
      </c>
      <c r="J509" t="str">
        <f>_xlfn.XLOOKUP(D509,products!$A$1:$A$49,products!$C$1:$C$49,,0)</f>
        <v>L</v>
      </c>
      <c r="K509" s="7">
        <f>_xlfn.XLOOKUP(D509,products!$A$1:$A$49,products!$D$1:$D$49,,0)</f>
        <v>2.5</v>
      </c>
      <c r="L509" s="9">
        <f>_xlfn.XLOOKUP(D509,products!$A$1:$A$49,products!$E$1:$E$49,,0)</f>
        <v>29.784999999999997</v>
      </c>
      <c r="M509" s="9">
        <f t="shared" si="7"/>
        <v>89.35499999999999</v>
      </c>
      <c r="N509" s="3" t="str" cm="1">
        <f t="array" ref="N509">_xlfn.SWITCH(I509,
"Rob","Robusta",
"Exc","Excelsa",
"Ara","Arabica",
"Lib","Liberica",
"")</f>
        <v>Arabica</v>
      </c>
      <c r="O509" t="str" cm="1">
        <f t="array" ref="O509">_xlfn.SWITCH(J509,
"M","Medium",
"L","Light",
"D","Dark",
"")</f>
        <v>Light</v>
      </c>
      <c r="P509" t="str">
        <f>_xlfn.XLOOKUP(Orders[[#This Row],[Customer ID]],customers!$A$1:$A$1001,customers!$I$1:$I$1001,,0)</f>
        <v>Yes</v>
      </c>
    </row>
    <row r="510" spans="1:16" x14ac:dyDescent="0.35">
      <c r="A510" s="2" t="s">
        <v>3361</v>
      </c>
      <c r="B510" s="4">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_xlfn.XLOOKUP(D510,products!$A$1:$A$49,products!$B$1:$B$49,,0)</f>
        <v>Lib</v>
      </c>
      <c r="J510" t="str">
        <f>_xlfn.XLOOKUP(D510,products!$A$1:$A$49,products!$C$1:$C$49,,0)</f>
        <v>D</v>
      </c>
      <c r="K510" s="7">
        <f>_xlfn.XLOOKUP(D510,products!$A$1:$A$49,products!$D$1:$D$49,,0)</f>
        <v>0.5</v>
      </c>
      <c r="L510" s="9">
        <f>_xlfn.XLOOKUP(D510,products!$A$1:$A$49,products!$E$1:$E$49,,0)</f>
        <v>7.77</v>
      </c>
      <c r="M510" s="9">
        <f t="shared" si="7"/>
        <v>46.62</v>
      </c>
      <c r="N510" s="3" t="str" cm="1">
        <f t="array" ref="N510">_xlfn.SWITCH(I510,
"Rob","Robusta",
"Exc","Excelsa",
"Ara","Arabica",
"Lib","Liberica",
"")</f>
        <v>Liberica</v>
      </c>
      <c r="O510" t="str" cm="1">
        <f t="array" ref="O510">_xlfn.SWITCH(J510,
"M","Medium",
"L","Light",
"D","Dark",
"")</f>
        <v>Dark</v>
      </c>
      <c r="P510" t="str">
        <f>_xlfn.XLOOKUP(Orders[[#This Row],[Customer ID]],customers!$A$1:$A$1001,customers!$I$1:$I$1001,,0)</f>
        <v>No</v>
      </c>
    </row>
    <row r="511" spans="1:16" x14ac:dyDescent="0.35">
      <c r="A511" s="2" t="s">
        <v>3367</v>
      </c>
      <c r="B511" s="4">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_xlfn.XLOOKUP(D511,products!$A$1:$A$49,products!$B$1:$B$49,,0)</f>
        <v>Ara</v>
      </c>
      <c r="J511" t="str">
        <f>_xlfn.XLOOKUP(D511,products!$A$1:$A$49,products!$C$1:$C$49,,0)</f>
        <v>D</v>
      </c>
      <c r="K511" s="7">
        <f>_xlfn.XLOOKUP(D511,products!$A$1:$A$49,products!$D$1:$D$49,,0)</f>
        <v>1</v>
      </c>
      <c r="L511" s="9">
        <f>_xlfn.XLOOKUP(D511,products!$A$1:$A$49,products!$E$1:$E$49,,0)</f>
        <v>9.9499999999999993</v>
      </c>
      <c r="M511" s="9">
        <f t="shared" si="7"/>
        <v>29.849999999999998</v>
      </c>
      <c r="N511" s="3" t="str" cm="1">
        <f t="array" ref="N511">_xlfn.SWITCH(I511,
"Rob","Robusta",
"Exc","Excelsa",
"Ara","Arabica",
"Lib","Liberica",
"")</f>
        <v>Arabica</v>
      </c>
      <c r="O511" t="str" cm="1">
        <f t="array" ref="O511">_xlfn.SWITCH(J511,
"M","Medium",
"L","Light",
"D","Dark",
"")</f>
        <v>Dark</v>
      </c>
      <c r="P511" t="str">
        <f>_xlfn.XLOOKUP(Orders[[#This Row],[Customer ID]],customers!$A$1:$A$1001,customers!$I$1:$I$1001,,0)</f>
        <v>Yes</v>
      </c>
    </row>
    <row r="512" spans="1:16" x14ac:dyDescent="0.35">
      <c r="A512" s="2" t="s">
        <v>3373</v>
      </c>
      <c r="B512" s="4">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_xlfn.XLOOKUP(D512,products!$A$1:$A$49,products!$B$1:$B$49,,0)</f>
        <v>Rob</v>
      </c>
      <c r="J512" t="str">
        <f>_xlfn.XLOOKUP(D512,products!$A$1:$A$49,products!$C$1:$C$49,,0)</f>
        <v>L</v>
      </c>
      <c r="K512" s="7">
        <f>_xlfn.XLOOKUP(D512,products!$A$1:$A$49,products!$D$1:$D$49,,0)</f>
        <v>0.2</v>
      </c>
      <c r="L512" s="9">
        <f>_xlfn.XLOOKUP(D512,products!$A$1:$A$49,products!$E$1:$E$49,,0)</f>
        <v>3.5849999999999995</v>
      </c>
      <c r="M512" s="9">
        <f t="shared" si="7"/>
        <v>10.754999999999999</v>
      </c>
      <c r="N512" s="3" t="str" cm="1">
        <f t="array" ref="N512">_xlfn.SWITCH(I512,
"Rob","Robusta",
"Exc","Excelsa",
"Ara","Arabica",
"Lib","Liberica",
"")</f>
        <v>Robusta</v>
      </c>
      <c r="O512" t="str" cm="1">
        <f t="array" ref="O512">_xlfn.SWITCH(J512,
"M","Medium",
"L","Light",
"D","Dark",
"")</f>
        <v>Light</v>
      </c>
      <c r="P512" t="str">
        <f>_xlfn.XLOOKUP(Orders[[#This Row],[Customer ID]],customers!$A$1:$A$1001,customers!$I$1:$I$1001,,0)</f>
        <v>Yes</v>
      </c>
    </row>
    <row r="513" spans="1:16" x14ac:dyDescent="0.35">
      <c r="A513" s="2" t="s">
        <v>3379</v>
      </c>
      <c r="B513" s="4">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_xlfn.XLOOKUP(D513,products!$A$1:$A$49,products!$B$1:$B$49,,0)</f>
        <v>Ara</v>
      </c>
      <c r="J513" t="str">
        <f>_xlfn.XLOOKUP(D513,products!$A$1:$A$49,products!$C$1:$C$49,,0)</f>
        <v>M</v>
      </c>
      <c r="K513" s="7">
        <f>_xlfn.XLOOKUP(D513,products!$A$1:$A$49,products!$D$1:$D$49,,0)</f>
        <v>0.2</v>
      </c>
      <c r="L513" s="9">
        <f>_xlfn.XLOOKUP(D513,products!$A$1:$A$49,products!$E$1:$E$49,,0)</f>
        <v>3.375</v>
      </c>
      <c r="M513" s="9">
        <f t="shared" si="7"/>
        <v>13.5</v>
      </c>
      <c r="N513" s="3" t="str" cm="1">
        <f t="array" ref="N513">_xlfn.SWITCH(I513,
"Rob","Robusta",
"Exc","Excelsa",
"Ara","Arabica",
"Lib","Liberica",
"")</f>
        <v>Arabica</v>
      </c>
      <c r="O513" t="str" cm="1">
        <f t="array" ref="O513">_xlfn.SWITCH(J513,
"M","Medium",
"L","Light",
"D","Dark",
"")</f>
        <v>Medium</v>
      </c>
      <c r="P513" t="str">
        <f>_xlfn.XLOOKUP(Orders[[#This Row],[Customer ID]],customers!$A$1:$A$1001,customers!$I$1:$I$1001,,0)</f>
        <v>Yes</v>
      </c>
    </row>
    <row r="514" spans="1:16" x14ac:dyDescent="0.35">
      <c r="A514" s="2" t="s">
        <v>3385</v>
      </c>
      <c r="B514" s="4">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_xlfn.XLOOKUP(D514,products!$A$1:$A$49,products!$B$1:$B$49,,0)</f>
        <v>Lib</v>
      </c>
      <c r="J514" t="str">
        <f>_xlfn.XLOOKUP(D514,products!$A$1:$A$49,products!$C$1:$C$49,,0)</f>
        <v>L</v>
      </c>
      <c r="K514" s="7">
        <f>_xlfn.XLOOKUP(D514,products!$A$1:$A$49,products!$D$1:$D$49,,0)</f>
        <v>1</v>
      </c>
      <c r="L514" s="9">
        <f>_xlfn.XLOOKUP(D514,products!$A$1:$A$49,products!$E$1:$E$49,,0)</f>
        <v>15.85</v>
      </c>
      <c r="M514" s="9">
        <f t="shared" si="7"/>
        <v>47.55</v>
      </c>
      <c r="N514" s="3" t="str" cm="1">
        <f t="array" ref="N514">_xlfn.SWITCH(I514,
"Rob","Robusta",
"Exc","Excelsa",
"Ara","Arabica",
"Lib","Liberica",
"")</f>
        <v>Liberica</v>
      </c>
      <c r="O514" t="str" cm="1">
        <f t="array" ref="O514">_xlfn.SWITCH(J514,
"M","Medium",
"L","Light",
"D","Dark",
"")</f>
        <v>Light</v>
      </c>
      <c r="P514" t="str">
        <f>_xlfn.XLOOKUP(Orders[[#This Row],[Customer ID]],customers!$A$1:$A$1001,customers!$I$1:$I$1001,,0)</f>
        <v>No</v>
      </c>
    </row>
    <row r="515" spans="1:16" x14ac:dyDescent="0.35">
      <c r="A515" s="2" t="s">
        <v>3391</v>
      </c>
      <c r="B515" s="4">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_xlfn.XLOOKUP(D515,products!$A$1:$A$49,products!$B$1:$B$49,,0)</f>
        <v>Lib</v>
      </c>
      <c r="J515" t="str">
        <f>_xlfn.XLOOKUP(D515,products!$A$1:$A$49,products!$C$1:$C$49,,0)</f>
        <v>L</v>
      </c>
      <c r="K515" s="7">
        <f>_xlfn.XLOOKUP(D515,products!$A$1:$A$49,products!$D$1:$D$49,,0)</f>
        <v>1</v>
      </c>
      <c r="L515" s="9">
        <f>_xlfn.XLOOKUP(D515,products!$A$1:$A$49,products!$E$1:$E$49,,0)</f>
        <v>15.85</v>
      </c>
      <c r="M515" s="9">
        <f t="shared" ref="M515:M578" si="8">L515*E515</f>
        <v>79.25</v>
      </c>
      <c r="N515" s="3" t="str" cm="1">
        <f t="array" ref="N515">_xlfn.SWITCH(I515,
"Rob","Robusta",
"Exc","Excelsa",
"Ara","Arabica",
"Lib","Liberica",
"")</f>
        <v>Liberica</v>
      </c>
      <c r="O515" t="str" cm="1">
        <f t="array" ref="O515">_xlfn.SWITCH(J515,
"M","Medium",
"L","Light",
"D","Dark",
"")</f>
        <v>Light</v>
      </c>
      <c r="P515" t="str">
        <f>_xlfn.XLOOKUP(Orders[[#This Row],[Customer ID]],customers!$A$1:$A$1001,customers!$I$1:$I$1001,,0)</f>
        <v>No</v>
      </c>
    </row>
    <row r="516" spans="1:16" x14ac:dyDescent="0.35">
      <c r="A516" s="2" t="s">
        <v>3396</v>
      </c>
      <c r="B516" s="4">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_xlfn.XLOOKUP(D516,products!$A$1:$A$49,products!$B$1:$B$49,,0)</f>
        <v>Lib</v>
      </c>
      <c r="J516" t="str">
        <f>_xlfn.XLOOKUP(D516,products!$A$1:$A$49,products!$C$1:$C$49,,0)</f>
        <v>M</v>
      </c>
      <c r="K516" s="7">
        <f>_xlfn.XLOOKUP(D516,products!$A$1:$A$49,products!$D$1:$D$49,,0)</f>
        <v>0.2</v>
      </c>
      <c r="L516" s="9">
        <f>_xlfn.XLOOKUP(D516,products!$A$1:$A$49,products!$E$1:$E$49,,0)</f>
        <v>4.3650000000000002</v>
      </c>
      <c r="M516" s="9">
        <f t="shared" si="8"/>
        <v>26.19</v>
      </c>
      <c r="N516" s="3" t="str" cm="1">
        <f t="array" ref="N516">_xlfn.SWITCH(I516,
"Rob","Robusta",
"Exc","Excelsa",
"Ara","Arabica",
"Lib","Liberica",
"")</f>
        <v>Liberica</v>
      </c>
      <c r="O516" t="str" cm="1">
        <f t="array" ref="O516">_xlfn.SWITCH(J516,
"M","Medium",
"L","Light",
"D","Dark",
"")</f>
        <v>Medium</v>
      </c>
      <c r="P516" t="str">
        <f>_xlfn.XLOOKUP(Orders[[#This Row],[Customer ID]],customers!$A$1:$A$1001,customers!$I$1:$I$1001,,0)</f>
        <v>Yes</v>
      </c>
    </row>
    <row r="517" spans="1:16" x14ac:dyDescent="0.35">
      <c r="A517" s="2" t="s">
        <v>3402</v>
      </c>
      <c r="B517" s="4">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_xlfn.XLOOKUP(D517,products!$A$1:$A$49,products!$B$1:$B$49,,0)</f>
        <v>Rob</v>
      </c>
      <c r="J517" t="str">
        <f>_xlfn.XLOOKUP(D517,products!$A$1:$A$49,products!$C$1:$C$49,,0)</f>
        <v>L</v>
      </c>
      <c r="K517" s="7">
        <f>_xlfn.XLOOKUP(D517,products!$A$1:$A$49,products!$D$1:$D$49,,0)</f>
        <v>0.5</v>
      </c>
      <c r="L517" s="9">
        <f>_xlfn.XLOOKUP(D517,products!$A$1:$A$49,products!$E$1:$E$49,,0)</f>
        <v>7.169999999999999</v>
      </c>
      <c r="M517" s="9">
        <f t="shared" si="8"/>
        <v>21.509999999999998</v>
      </c>
      <c r="N517" s="3" t="str" cm="1">
        <f t="array" ref="N517">_xlfn.SWITCH(I517,
"Rob","Robusta",
"Exc","Excelsa",
"Ara","Arabica",
"Lib","Liberica",
"")</f>
        <v>Robusta</v>
      </c>
      <c r="O517" t="str" cm="1">
        <f t="array" ref="O517">_xlfn.SWITCH(J517,
"M","Medium",
"L","Light",
"D","Dark",
"")</f>
        <v>Light</v>
      </c>
      <c r="P517" t="str">
        <f>_xlfn.XLOOKUP(Orders[[#This Row],[Customer ID]],customers!$A$1:$A$1001,customers!$I$1:$I$1001,,0)</f>
        <v>No</v>
      </c>
    </row>
    <row r="518" spans="1:16" x14ac:dyDescent="0.35">
      <c r="A518" s="2" t="s">
        <v>3408</v>
      </c>
      <c r="B518" s="4">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_xlfn.XLOOKUP(D518,products!$A$1:$A$49,products!$B$1:$B$49,,0)</f>
        <v>Rob</v>
      </c>
      <c r="J518" t="str">
        <f>_xlfn.XLOOKUP(D518,products!$A$1:$A$49,products!$C$1:$C$49,,0)</f>
        <v>D</v>
      </c>
      <c r="K518" s="7">
        <f>_xlfn.XLOOKUP(D518,products!$A$1:$A$49,products!$D$1:$D$49,,0)</f>
        <v>2.5</v>
      </c>
      <c r="L518" s="9">
        <f>_xlfn.XLOOKUP(D518,products!$A$1:$A$49,products!$E$1:$E$49,,0)</f>
        <v>20.584999999999997</v>
      </c>
      <c r="M518" s="9">
        <f t="shared" si="8"/>
        <v>102.92499999999998</v>
      </c>
      <c r="N518" s="3" t="str" cm="1">
        <f t="array" ref="N518">_xlfn.SWITCH(I518,
"Rob","Robusta",
"Exc","Excelsa",
"Ara","Arabica",
"Lib","Liberica",
"")</f>
        <v>Robusta</v>
      </c>
      <c r="O518" t="str" cm="1">
        <f t="array" ref="O518">_xlfn.SWITCH(J518,
"M","Medium",
"L","Light",
"D","Dark",
"")</f>
        <v>Dark</v>
      </c>
      <c r="P518" t="str">
        <f>_xlfn.XLOOKUP(Orders[[#This Row],[Customer ID]],customers!$A$1:$A$1001,customers!$I$1:$I$1001,,0)</f>
        <v>Yes</v>
      </c>
    </row>
    <row r="519" spans="1:16" x14ac:dyDescent="0.35">
      <c r="A519" s="2" t="s">
        <v>3413</v>
      </c>
      <c r="B519" s="4">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_xlfn.XLOOKUP(D519,products!$A$1:$A$49,products!$B$1:$B$49,,0)</f>
        <v>Lib</v>
      </c>
      <c r="J519" t="str">
        <f>_xlfn.XLOOKUP(D519,products!$A$1:$A$49,products!$C$1:$C$49,,0)</f>
        <v>D</v>
      </c>
      <c r="K519" s="7">
        <f>_xlfn.XLOOKUP(D519,products!$A$1:$A$49,products!$D$1:$D$49,,0)</f>
        <v>0.2</v>
      </c>
      <c r="L519" s="9">
        <f>_xlfn.XLOOKUP(D519,products!$A$1:$A$49,products!$E$1:$E$49,,0)</f>
        <v>3.8849999999999998</v>
      </c>
      <c r="M519" s="9">
        <f t="shared" si="8"/>
        <v>7.77</v>
      </c>
      <c r="N519" s="3" t="str" cm="1">
        <f t="array" ref="N519">_xlfn.SWITCH(I519,
"Rob","Robusta",
"Exc","Excelsa",
"Ara","Arabica",
"Lib","Liberica",
"")</f>
        <v>Liberica</v>
      </c>
      <c r="O519" t="str" cm="1">
        <f t="array" ref="O519">_xlfn.SWITCH(J519,
"M","Medium",
"L","Light",
"D","Dark",
"")</f>
        <v>Dark</v>
      </c>
      <c r="P519" t="str">
        <f>_xlfn.XLOOKUP(Orders[[#This Row],[Customer ID]],customers!$A$1:$A$1001,customers!$I$1:$I$1001,,0)</f>
        <v>No</v>
      </c>
    </row>
    <row r="520" spans="1:16" x14ac:dyDescent="0.35">
      <c r="A520" s="2" t="s">
        <v>3418</v>
      </c>
      <c r="B520" s="4">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_xlfn.XLOOKUP(D520,products!$A$1:$A$49,products!$B$1:$B$49,,0)</f>
        <v>Exc</v>
      </c>
      <c r="J520" t="str">
        <f>_xlfn.XLOOKUP(D520,products!$A$1:$A$49,products!$C$1:$C$49,,0)</f>
        <v>D</v>
      </c>
      <c r="K520" s="7">
        <f>_xlfn.XLOOKUP(D520,products!$A$1:$A$49,products!$D$1:$D$49,,0)</f>
        <v>2.5</v>
      </c>
      <c r="L520" s="9">
        <f>_xlfn.XLOOKUP(D520,products!$A$1:$A$49,products!$E$1:$E$49,,0)</f>
        <v>27.945</v>
      </c>
      <c r="M520" s="9">
        <f t="shared" si="8"/>
        <v>139.72499999999999</v>
      </c>
      <c r="N520" s="3" t="str" cm="1">
        <f t="array" ref="N520">_xlfn.SWITCH(I520,
"Rob","Robusta",
"Exc","Excelsa",
"Ara","Arabica",
"Lib","Liberica",
"")</f>
        <v>Excelsa</v>
      </c>
      <c r="O520" t="str" cm="1">
        <f t="array" ref="O520">_xlfn.SWITCH(J520,
"M","Medium",
"L","Light",
"D","Dark",
"")</f>
        <v>Dark</v>
      </c>
      <c r="P520" t="str">
        <f>_xlfn.XLOOKUP(Orders[[#This Row],[Customer ID]],customers!$A$1:$A$1001,customers!$I$1:$I$1001,,0)</f>
        <v>No</v>
      </c>
    </row>
    <row r="521" spans="1:16" x14ac:dyDescent="0.35">
      <c r="A521" s="2" t="s">
        <v>3424</v>
      </c>
      <c r="B521" s="4">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_xlfn.XLOOKUP(D521,products!$A$1:$A$49,products!$B$1:$B$49,,0)</f>
        <v>Ara</v>
      </c>
      <c r="J521" t="str">
        <f>_xlfn.XLOOKUP(D521,products!$A$1:$A$49,products!$C$1:$C$49,,0)</f>
        <v>D</v>
      </c>
      <c r="K521" s="7">
        <f>_xlfn.XLOOKUP(D521,products!$A$1:$A$49,products!$D$1:$D$49,,0)</f>
        <v>0.5</v>
      </c>
      <c r="L521" s="9">
        <f>_xlfn.XLOOKUP(D521,products!$A$1:$A$49,products!$E$1:$E$49,,0)</f>
        <v>5.97</v>
      </c>
      <c r="M521" s="9">
        <f t="shared" si="8"/>
        <v>11.94</v>
      </c>
      <c r="N521" s="3" t="str" cm="1">
        <f t="array" ref="N521">_xlfn.SWITCH(I521,
"Rob","Robusta",
"Exc","Excelsa",
"Ara","Arabica",
"Lib","Liberica",
"")</f>
        <v>Arabica</v>
      </c>
      <c r="O521" t="str" cm="1">
        <f t="array" ref="O521">_xlfn.SWITCH(J521,
"M","Medium",
"L","Light",
"D","Dark",
"")</f>
        <v>Dark</v>
      </c>
      <c r="P521" t="str">
        <f>_xlfn.XLOOKUP(Orders[[#This Row],[Customer ID]],customers!$A$1:$A$1001,customers!$I$1:$I$1001,,0)</f>
        <v>Yes</v>
      </c>
    </row>
    <row r="522" spans="1:16" x14ac:dyDescent="0.35">
      <c r="A522" s="2" t="s">
        <v>3430</v>
      </c>
      <c r="B522" s="4">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_xlfn.XLOOKUP(D522,products!$A$1:$A$49,products!$B$1:$B$49,,0)</f>
        <v>Lib</v>
      </c>
      <c r="J522" t="str">
        <f>_xlfn.XLOOKUP(D522,products!$A$1:$A$49,products!$C$1:$C$49,,0)</f>
        <v>D</v>
      </c>
      <c r="K522" s="7">
        <f>_xlfn.XLOOKUP(D522,products!$A$1:$A$49,products!$D$1:$D$49,,0)</f>
        <v>0.2</v>
      </c>
      <c r="L522" s="9">
        <f>_xlfn.XLOOKUP(D522,products!$A$1:$A$49,products!$E$1:$E$49,,0)</f>
        <v>3.8849999999999998</v>
      </c>
      <c r="M522" s="9">
        <f t="shared" si="8"/>
        <v>3.8849999999999998</v>
      </c>
      <c r="N522" s="3" t="str" cm="1">
        <f t="array" ref="N522">_xlfn.SWITCH(I522,
"Rob","Robusta",
"Exc","Excelsa",
"Ara","Arabica",
"Lib","Liberica",
"")</f>
        <v>Liberica</v>
      </c>
      <c r="O522" t="str" cm="1">
        <f t="array" ref="O522">_xlfn.SWITCH(J522,
"M","Medium",
"L","Light",
"D","Dark",
"")</f>
        <v>Dark</v>
      </c>
      <c r="P522" t="str">
        <f>_xlfn.XLOOKUP(Orders[[#This Row],[Customer ID]],customers!$A$1:$A$1001,customers!$I$1:$I$1001,,0)</f>
        <v>No</v>
      </c>
    </row>
    <row r="523" spans="1:16" x14ac:dyDescent="0.35">
      <c r="A523" s="2" t="s">
        <v>3430</v>
      </c>
      <c r="B523" s="4">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_xlfn.XLOOKUP(D523,products!$A$1:$A$49,products!$B$1:$B$49,,0)</f>
        <v>Rob</v>
      </c>
      <c r="J523" t="str">
        <f>_xlfn.XLOOKUP(D523,products!$A$1:$A$49,products!$C$1:$C$49,,0)</f>
        <v>M</v>
      </c>
      <c r="K523" s="7">
        <f>_xlfn.XLOOKUP(D523,products!$A$1:$A$49,products!$D$1:$D$49,,0)</f>
        <v>1</v>
      </c>
      <c r="L523" s="9">
        <f>_xlfn.XLOOKUP(D523,products!$A$1:$A$49,products!$E$1:$E$49,,0)</f>
        <v>9.9499999999999993</v>
      </c>
      <c r="M523" s="9">
        <f t="shared" si="8"/>
        <v>39.799999999999997</v>
      </c>
      <c r="N523" s="3" t="str" cm="1">
        <f t="array" ref="N523">_xlfn.SWITCH(I523,
"Rob","Robusta",
"Exc","Excelsa",
"Ara","Arabica",
"Lib","Liberica",
"")</f>
        <v>Robusta</v>
      </c>
      <c r="O523" t="str" cm="1">
        <f t="array" ref="O523">_xlfn.SWITCH(J523,
"M","Medium",
"L","Light",
"D","Dark",
"")</f>
        <v>Medium</v>
      </c>
      <c r="P523" t="str">
        <f>_xlfn.XLOOKUP(Orders[[#This Row],[Customer ID]],customers!$A$1:$A$1001,customers!$I$1:$I$1001,,0)</f>
        <v>No</v>
      </c>
    </row>
    <row r="524" spans="1:16" x14ac:dyDescent="0.35">
      <c r="A524" s="2" t="s">
        <v>3441</v>
      </c>
      <c r="B524" s="4">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_xlfn.XLOOKUP(D524,products!$A$1:$A$49,products!$B$1:$B$49,,0)</f>
        <v>Rob</v>
      </c>
      <c r="J524" t="str">
        <f>_xlfn.XLOOKUP(D524,products!$A$1:$A$49,products!$C$1:$C$49,,0)</f>
        <v>M</v>
      </c>
      <c r="K524" s="7">
        <f>_xlfn.XLOOKUP(D524,products!$A$1:$A$49,products!$D$1:$D$49,,0)</f>
        <v>0.5</v>
      </c>
      <c r="L524" s="9">
        <f>_xlfn.XLOOKUP(D524,products!$A$1:$A$49,products!$E$1:$E$49,,0)</f>
        <v>5.97</v>
      </c>
      <c r="M524" s="9">
        <f t="shared" si="8"/>
        <v>29.849999999999998</v>
      </c>
      <c r="N524" s="3" t="str" cm="1">
        <f t="array" ref="N524">_xlfn.SWITCH(I524,
"Rob","Robusta",
"Exc","Excelsa",
"Ara","Arabica",
"Lib","Liberica",
"")</f>
        <v>Robusta</v>
      </c>
      <c r="O524" t="str" cm="1">
        <f t="array" ref="O524">_xlfn.SWITCH(J524,
"M","Medium",
"L","Light",
"D","Dark",
"")</f>
        <v>Medium</v>
      </c>
      <c r="P524" t="str">
        <f>_xlfn.XLOOKUP(Orders[[#This Row],[Customer ID]],customers!$A$1:$A$1001,customers!$I$1:$I$1001,,0)</f>
        <v>No</v>
      </c>
    </row>
    <row r="525" spans="1:16" x14ac:dyDescent="0.35">
      <c r="A525" s="2" t="s">
        <v>3447</v>
      </c>
      <c r="B525" s="4">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_xlfn.XLOOKUP(D525,products!$A$1:$A$49,products!$B$1:$B$49,,0)</f>
        <v>Lib</v>
      </c>
      <c r="J525" t="str">
        <f>_xlfn.XLOOKUP(D525,products!$A$1:$A$49,products!$C$1:$C$49,,0)</f>
        <v>D</v>
      </c>
      <c r="K525" s="7">
        <f>_xlfn.XLOOKUP(D525,products!$A$1:$A$49,products!$D$1:$D$49,,0)</f>
        <v>2.5</v>
      </c>
      <c r="L525" s="9">
        <f>_xlfn.XLOOKUP(D525,products!$A$1:$A$49,products!$E$1:$E$49,,0)</f>
        <v>29.784999999999997</v>
      </c>
      <c r="M525" s="9">
        <f t="shared" si="8"/>
        <v>29.784999999999997</v>
      </c>
      <c r="N525" s="3" t="str" cm="1">
        <f t="array" ref="N525">_xlfn.SWITCH(I525,
"Rob","Robusta",
"Exc","Excelsa",
"Ara","Arabica",
"Lib","Liberica",
"")</f>
        <v>Liberica</v>
      </c>
      <c r="O525" t="str" cm="1">
        <f t="array" ref="O525">_xlfn.SWITCH(J525,
"M","Medium",
"L","Light",
"D","Dark",
"")</f>
        <v>Dark</v>
      </c>
      <c r="P525" t="str">
        <f>_xlfn.XLOOKUP(Orders[[#This Row],[Customer ID]],customers!$A$1:$A$1001,customers!$I$1:$I$1001,,0)</f>
        <v>No</v>
      </c>
    </row>
    <row r="526" spans="1:16" x14ac:dyDescent="0.35">
      <c r="A526" s="2" t="s">
        <v>3453</v>
      </c>
      <c r="B526" s="4">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_xlfn.XLOOKUP(D526,products!$A$1:$A$49,products!$B$1:$B$49,,0)</f>
        <v>Lib</v>
      </c>
      <c r="J526" t="str">
        <f>_xlfn.XLOOKUP(D526,products!$A$1:$A$49,products!$C$1:$C$49,,0)</f>
        <v>L</v>
      </c>
      <c r="K526" s="7">
        <f>_xlfn.XLOOKUP(D526,products!$A$1:$A$49,products!$D$1:$D$49,,0)</f>
        <v>2.5</v>
      </c>
      <c r="L526" s="9">
        <f>_xlfn.XLOOKUP(D526,products!$A$1:$A$49,products!$E$1:$E$49,,0)</f>
        <v>36.454999999999998</v>
      </c>
      <c r="M526" s="9">
        <f t="shared" si="8"/>
        <v>72.91</v>
      </c>
      <c r="N526" s="3" t="str" cm="1">
        <f t="array" ref="N526">_xlfn.SWITCH(I526,
"Rob","Robusta",
"Exc","Excelsa",
"Ara","Arabica",
"Lib","Liberica",
"")</f>
        <v>Liberica</v>
      </c>
      <c r="O526" t="str" cm="1">
        <f t="array" ref="O526">_xlfn.SWITCH(J526,
"M","Medium",
"L","Light",
"D","Dark",
"")</f>
        <v>Light</v>
      </c>
      <c r="P526" t="str">
        <f>_xlfn.XLOOKUP(Orders[[#This Row],[Customer ID]],customers!$A$1:$A$1001,customers!$I$1:$I$1001,,0)</f>
        <v>No</v>
      </c>
    </row>
    <row r="527" spans="1:16" x14ac:dyDescent="0.35">
      <c r="A527" s="2" t="s">
        <v>3458</v>
      </c>
      <c r="B527" s="4">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_xlfn.XLOOKUP(D527,products!$A$1:$A$49,products!$B$1:$B$49,,0)</f>
        <v>Rob</v>
      </c>
      <c r="J527" t="str">
        <f>_xlfn.XLOOKUP(D527,products!$A$1:$A$49,products!$C$1:$C$49,,0)</f>
        <v>D</v>
      </c>
      <c r="K527" s="7">
        <f>_xlfn.XLOOKUP(D527,products!$A$1:$A$49,products!$D$1:$D$49,,0)</f>
        <v>0.2</v>
      </c>
      <c r="L527" s="9">
        <f>_xlfn.XLOOKUP(D527,products!$A$1:$A$49,products!$E$1:$E$49,,0)</f>
        <v>2.6849999999999996</v>
      </c>
      <c r="M527" s="9">
        <f t="shared" si="8"/>
        <v>13.424999999999997</v>
      </c>
      <c r="N527" s="3" t="str" cm="1">
        <f t="array" ref="N527">_xlfn.SWITCH(I527,
"Rob","Robusta",
"Exc","Excelsa",
"Ara","Arabica",
"Lib","Liberica",
"")</f>
        <v>Robusta</v>
      </c>
      <c r="O527" t="str" cm="1">
        <f t="array" ref="O527">_xlfn.SWITCH(J527,
"M","Medium",
"L","Light",
"D","Dark",
"")</f>
        <v>Dark</v>
      </c>
      <c r="P527" t="str">
        <f>_xlfn.XLOOKUP(Orders[[#This Row],[Customer ID]],customers!$A$1:$A$1001,customers!$I$1:$I$1001,,0)</f>
        <v>Yes</v>
      </c>
    </row>
    <row r="528" spans="1:16" x14ac:dyDescent="0.35">
      <c r="A528" s="2" t="s">
        <v>3463</v>
      </c>
      <c r="B528" s="4">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_xlfn.XLOOKUP(D528,products!$A$1:$A$49,products!$B$1:$B$49,,0)</f>
        <v>Exc</v>
      </c>
      <c r="J528" t="str">
        <f>_xlfn.XLOOKUP(D528,products!$A$1:$A$49,products!$C$1:$C$49,,0)</f>
        <v>M</v>
      </c>
      <c r="K528" s="7">
        <f>_xlfn.XLOOKUP(D528,products!$A$1:$A$49,products!$D$1:$D$49,,0)</f>
        <v>2.5</v>
      </c>
      <c r="L528" s="9">
        <f>_xlfn.XLOOKUP(D528,products!$A$1:$A$49,products!$E$1:$E$49,,0)</f>
        <v>31.624999999999996</v>
      </c>
      <c r="M528" s="9">
        <f t="shared" si="8"/>
        <v>126.49999999999999</v>
      </c>
      <c r="N528" s="3" t="str" cm="1">
        <f t="array" ref="N528">_xlfn.SWITCH(I528,
"Rob","Robusta",
"Exc","Excelsa",
"Ara","Arabica",
"Lib","Liberica",
"")</f>
        <v>Excelsa</v>
      </c>
      <c r="O528" t="str" cm="1">
        <f t="array" ref="O528">_xlfn.SWITCH(J528,
"M","Medium",
"L","Light",
"D","Dark",
"")</f>
        <v>Medium</v>
      </c>
      <c r="P528" t="str">
        <f>_xlfn.XLOOKUP(Orders[[#This Row],[Customer ID]],customers!$A$1:$A$1001,customers!$I$1:$I$1001,,0)</f>
        <v>Yes</v>
      </c>
    </row>
    <row r="529" spans="1:16" x14ac:dyDescent="0.35">
      <c r="A529" s="2" t="s">
        <v>3469</v>
      </c>
      <c r="B529" s="4">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_xlfn.XLOOKUP(D529,products!$A$1:$A$49,products!$B$1:$B$49,,0)</f>
        <v>Exc</v>
      </c>
      <c r="J529" t="str">
        <f>_xlfn.XLOOKUP(D529,products!$A$1:$A$49,products!$C$1:$C$49,,0)</f>
        <v>M</v>
      </c>
      <c r="K529" s="7">
        <f>_xlfn.XLOOKUP(D529,products!$A$1:$A$49,products!$D$1:$D$49,,0)</f>
        <v>0.5</v>
      </c>
      <c r="L529" s="9">
        <f>_xlfn.XLOOKUP(D529,products!$A$1:$A$49,products!$E$1:$E$49,,0)</f>
        <v>8.25</v>
      </c>
      <c r="M529" s="9">
        <f t="shared" si="8"/>
        <v>41.25</v>
      </c>
      <c r="N529" s="3" t="str" cm="1">
        <f t="array" ref="N529">_xlfn.SWITCH(I529,
"Rob","Robusta",
"Exc","Excelsa",
"Ara","Arabica",
"Lib","Liberica",
"")</f>
        <v>Excelsa</v>
      </c>
      <c r="O529" t="str" cm="1">
        <f t="array" ref="O529">_xlfn.SWITCH(J529,
"M","Medium",
"L","Light",
"D","Dark",
"")</f>
        <v>Medium</v>
      </c>
      <c r="P529" t="str">
        <f>_xlfn.XLOOKUP(Orders[[#This Row],[Customer ID]],customers!$A$1:$A$1001,customers!$I$1:$I$1001,,0)</f>
        <v>No</v>
      </c>
    </row>
    <row r="530" spans="1:16" x14ac:dyDescent="0.35">
      <c r="A530" s="2" t="s">
        <v>3475</v>
      </c>
      <c r="B530" s="4">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_xlfn.XLOOKUP(D530,products!$A$1:$A$49,products!$B$1:$B$49,,0)</f>
        <v>Exc</v>
      </c>
      <c r="J530" t="str">
        <f>_xlfn.XLOOKUP(D530,products!$A$1:$A$49,products!$C$1:$C$49,,0)</f>
        <v>L</v>
      </c>
      <c r="K530" s="7">
        <f>_xlfn.XLOOKUP(D530,products!$A$1:$A$49,products!$D$1:$D$49,,0)</f>
        <v>0.5</v>
      </c>
      <c r="L530" s="9">
        <f>_xlfn.XLOOKUP(D530,products!$A$1:$A$49,products!$E$1:$E$49,,0)</f>
        <v>8.91</v>
      </c>
      <c r="M530" s="9">
        <f t="shared" si="8"/>
        <v>53.46</v>
      </c>
      <c r="N530" s="3" t="str" cm="1">
        <f t="array" ref="N530">_xlfn.SWITCH(I530,
"Rob","Robusta",
"Exc","Excelsa",
"Ara","Arabica",
"Lib","Liberica",
"")</f>
        <v>Excelsa</v>
      </c>
      <c r="O530" t="str" cm="1">
        <f t="array" ref="O530">_xlfn.SWITCH(J530,
"M","Medium",
"L","Light",
"D","Dark",
"")</f>
        <v>Light</v>
      </c>
      <c r="P530" t="str">
        <f>_xlfn.XLOOKUP(Orders[[#This Row],[Customer ID]],customers!$A$1:$A$1001,customers!$I$1:$I$1001,,0)</f>
        <v>No</v>
      </c>
    </row>
    <row r="531" spans="1:16" x14ac:dyDescent="0.35">
      <c r="A531" s="2" t="s">
        <v>3481</v>
      </c>
      <c r="B531" s="4">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_xlfn.XLOOKUP(D531,products!$A$1:$A$49,products!$B$1:$B$49,,0)</f>
        <v>Rob</v>
      </c>
      <c r="J531" t="str">
        <f>_xlfn.XLOOKUP(D531,products!$A$1:$A$49,products!$C$1:$C$49,,0)</f>
        <v>M</v>
      </c>
      <c r="K531" s="7">
        <f>_xlfn.XLOOKUP(D531,products!$A$1:$A$49,products!$D$1:$D$49,,0)</f>
        <v>1</v>
      </c>
      <c r="L531" s="9">
        <f>_xlfn.XLOOKUP(D531,products!$A$1:$A$49,products!$E$1:$E$49,,0)</f>
        <v>9.9499999999999993</v>
      </c>
      <c r="M531" s="9">
        <f t="shared" si="8"/>
        <v>59.699999999999996</v>
      </c>
      <c r="N531" s="3" t="str" cm="1">
        <f t="array" ref="N531">_xlfn.SWITCH(I531,
"Rob","Robusta",
"Exc","Excelsa",
"Ara","Arabica",
"Lib","Liberica",
"")</f>
        <v>Robusta</v>
      </c>
      <c r="O531" t="str" cm="1">
        <f t="array" ref="O531">_xlfn.SWITCH(J531,
"M","Medium",
"L","Light",
"D","Dark",
"")</f>
        <v>Medium</v>
      </c>
      <c r="P531" t="str">
        <f>_xlfn.XLOOKUP(Orders[[#This Row],[Customer ID]],customers!$A$1:$A$1001,customers!$I$1:$I$1001,,0)</f>
        <v>No</v>
      </c>
    </row>
    <row r="532" spans="1:16" x14ac:dyDescent="0.35">
      <c r="A532" s="2" t="s">
        <v>3487</v>
      </c>
      <c r="B532" s="4">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_xlfn.XLOOKUP(D532,products!$A$1:$A$49,products!$B$1:$B$49,,0)</f>
        <v>Rob</v>
      </c>
      <c r="J532" t="str">
        <f>_xlfn.XLOOKUP(D532,products!$A$1:$A$49,products!$C$1:$C$49,,0)</f>
        <v>M</v>
      </c>
      <c r="K532" s="7">
        <f>_xlfn.XLOOKUP(D532,products!$A$1:$A$49,products!$D$1:$D$49,,0)</f>
        <v>1</v>
      </c>
      <c r="L532" s="9">
        <f>_xlfn.XLOOKUP(D532,products!$A$1:$A$49,products!$E$1:$E$49,,0)</f>
        <v>9.9499999999999993</v>
      </c>
      <c r="M532" s="9">
        <f t="shared" si="8"/>
        <v>59.699999999999996</v>
      </c>
      <c r="N532" s="3" t="str" cm="1">
        <f t="array" ref="N532">_xlfn.SWITCH(I532,
"Rob","Robusta",
"Exc","Excelsa",
"Ara","Arabica",
"Lib","Liberica",
"")</f>
        <v>Robusta</v>
      </c>
      <c r="O532" t="str" cm="1">
        <f t="array" ref="O532">_xlfn.SWITCH(J532,
"M","Medium",
"L","Light",
"D","Dark",
"")</f>
        <v>Medium</v>
      </c>
      <c r="P532" t="str">
        <f>_xlfn.XLOOKUP(Orders[[#This Row],[Customer ID]],customers!$A$1:$A$1001,customers!$I$1:$I$1001,,0)</f>
        <v>No</v>
      </c>
    </row>
    <row r="533" spans="1:16" x14ac:dyDescent="0.35">
      <c r="A533" s="2" t="s">
        <v>3493</v>
      </c>
      <c r="B533" s="4">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_xlfn.XLOOKUP(D533,products!$A$1:$A$49,products!$B$1:$B$49,,0)</f>
        <v>Rob</v>
      </c>
      <c r="J533" t="str">
        <f>_xlfn.XLOOKUP(D533,products!$A$1:$A$49,products!$C$1:$C$49,,0)</f>
        <v>D</v>
      </c>
      <c r="K533" s="7">
        <f>_xlfn.XLOOKUP(D533,products!$A$1:$A$49,products!$D$1:$D$49,,0)</f>
        <v>1</v>
      </c>
      <c r="L533" s="9">
        <f>_xlfn.XLOOKUP(D533,products!$A$1:$A$49,products!$E$1:$E$49,,0)</f>
        <v>8.9499999999999993</v>
      </c>
      <c r="M533" s="9">
        <f t="shared" si="8"/>
        <v>44.75</v>
      </c>
      <c r="N533" s="3" t="str" cm="1">
        <f t="array" ref="N533">_xlfn.SWITCH(I533,
"Rob","Robusta",
"Exc","Excelsa",
"Ara","Arabica",
"Lib","Liberica",
"")</f>
        <v>Robusta</v>
      </c>
      <c r="O533" t="str" cm="1">
        <f t="array" ref="O533">_xlfn.SWITCH(J533,
"M","Medium",
"L","Light",
"D","Dark",
"")</f>
        <v>Dark</v>
      </c>
      <c r="P533" t="str">
        <f>_xlfn.XLOOKUP(Orders[[#This Row],[Customer ID]],customers!$A$1:$A$1001,customers!$I$1:$I$1001,,0)</f>
        <v>No</v>
      </c>
    </row>
    <row r="534" spans="1:16" x14ac:dyDescent="0.35">
      <c r="A534" s="2" t="s">
        <v>3499</v>
      </c>
      <c r="B534" s="4">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_xlfn.XLOOKUP(D534,products!$A$1:$A$49,products!$B$1:$B$49,,0)</f>
        <v>Exc</v>
      </c>
      <c r="J534" t="str">
        <f>_xlfn.XLOOKUP(D534,products!$A$1:$A$49,products!$C$1:$C$49,,0)</f>
        <v>M</v>
      </c>
      <c r="K534" s="7">
        <f>_xlfn.XLOOKUP(D534,products!$A$1:$A$49,products!$D$1:$D$49,,0)</f>
        <v>0.5</v>
      </c>
      <c r="L534" s="9">
        <f>_xlfn.XLOOKUP(D534,products!$A$1:$A$49,products!$E$1:$E$49,,0)</f>
        <v>8.25</v>
      </c>
      <c r="M534" s="9">
        <f t="shared" si="8"/>
        <v>16.5</v>
      </c>
      <c r="N534" s="3" t="str" cm="1">
        <f t="array" ref="N534">_xlfn.SWITCH(I534,
"Rob","Robusta",
"Exc","Excelsa",
"Ara","Arabica",
"Lib","Liberica",
"")</f>
        <v>Excelsa</v>
      </c>
      <c r="O534" t="str" cm="1">
        <f t="array" ref="O534">_xlfn.SWITCH(J534,
"M","Medium",
"L","Light",
"D","Dark",
"")</f>
        <v>Medium</v>
      </c>
      <c r="P534" t="str">
        <f>_xlfn.XLOOKUP(Orders[[#This Row],[Customer ID]],customers!$A$1:$A$1001,customers!$I$1:$I$1001,,0)</f>
        <v>Yes</v>
      </c>
    </row>
    <row r="535" spans="1:16" x14ac:dyDescent="0.35">
      <c r="A535" s="2" t="s">
        <v>3505</v>
      </c>
      <c r="B535" s="4">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_xlfn.XLOOKUP(D535,products!$A$1:$A$49,products!$B$1:$B$49,,0)</f>
        <v>Rob</v>
      </c>
      <c r="J535" t="str">
        <f>_xlfn.XLOOKUP(D535,products!$A$1:$A$49,products!$C$1:$C$49,,0)</f>
        <v>D</v>
      </c>
      <c r="K535" s="7">
        <f>_xlfn.XLOOKUP(D535,products!$A$1:$A$49,products!$D$1:$D$49,,0)</f>
        <v>0.5</v>
      </c>
      <c r="L535" s="9">
        <f>_xlfn.XLOOKUP(D535,products!$A$1:$A$49,products!$E$1:$E$49,,0)</f>
        <v>5.3699999999999992</v>
      </c>
      <c r="M535" s="9">
        <f t="shared" si="8"/>
        <v>21.479999999999997</v>
      </c>
      <c r="N535" s="3" t="str" cm="1">
        <f t="array" ref="N535">_xlfn.SWITCH(I535,
"Rob","Robusta",
"Exc","Excelsa",
"Ara","Arabica",
"Lib","Liberica",
"")</f>
        <v>Robusta</v>
      </c>
      <c r="O535" t="str" cm="1">
        <f t="array" ref="O535">_xlfn.SWITCH(J535,
"M","Medium",
"L","Light",
"D","Dark",
"")</f>
        <v>Dark</v>
      </c>
      <c r="P535" t="str">
        <f>_xlfn.XLOOKUP(Orders[[#This Row],[Customer ID]],customers!$A$1:$A$1001,customers!$I$1:$I$1001,,0)</f>
        <v>No</v>
      </c>
    </row>
    <row r="536" spans="1:16" x14ac:dyDescent="0.35">
      <c r="A536" s="2" t="s">
        <v>3510</v>
      </c>
      <c r="B536" s="4">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_xlfn.XLOOKUP(D536,products!$A$1:$A$49,products!$B$1:$B$49,,0)</f>
        <v>Rob</v>
      </c>
      <c r="J536" t="str">
        <f>_xlfn.XLOOKUP(D536,products!$A$1:$A$49,products!$C$1:$C$49,,0)</f>
        <v>M</v>
      </c>
      <c r="K536" s="7">
        <f>_xlfn.XLOOKUP(D536,products!$A$1:$A$49,products!$D$1:$D$49,,0)</f>
        <v>2.5</v>
      </c>
      <c r="L536" s="9">
        <f>_xlfn.XLOOKUP(D536,products!$A$1:$A$49,products!$E$1:$E$49,,0)</f>
        <v>22.884999999999998</v>
      </c>
      <c r="M536" s="9">
        <f t="shared" si="8"/>
        <v>45.769999999999996</v>
      </c>
      <c r="N536" s="3" t="str" cm="1">
        <f t="array" ref="N536">_xlfn.SWITCH(I536,
"Rob","Robusta",
"Exc","Excelsa",
"Ara","Arabica",
"Lib","Liberica",
"")</f>
        <v>Robusta</v>
      </c>
      <c r="O536" t="str" cm="1">
        <f t="array" ref="O536">_xlfn.SWITCH(J536,
"M","Medium",
"L","Light",
"D","Dark",
"")</f>
        <v>Medium</v>
      </c>
      <c r="P536" t="str">
        <f>_xlfn.XLOOKUP(Orders[[#This Row],[Customer ID]],customers!$A$1:$A$1001,customers!$I$1:$I$1001,,0)</f>
        <v>Yes</v>
      </c>
    </row>
    <row r="537" spans="1:16" x14ac:dyDescent="0.35">
      <c r="A537" s="2" t="s">
        <v>3516</v>
      </c>
      <c r="B537" s="4">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_xlfn.XLOOKUP(D537,products!$A$1:$A$49,products!$B$1:$B$49,,0)</f>
        <v>Lib</v>
      </c>
      <c r="J537" t="str">
        <f>_xlfn.XLOOKUP(D537,products!$A$1:$A$49,products!$C$1:$C$49,,0)</f>
        <v>L</v>
      </c>
      <c r="K537" s="7">
        <f>_xlfn.XLOOKUP(D537,products!$A$1:$A$49,products!$D$1:$D$49,,0)</f>
        <v>0.2</v>
      </c>
      <c r="L537" s="9">
        <f>_xlfn.XLOOKUP(D537,products!$A$1:$A$49,products!$E$1:$E$49,,0)</f>
        <v>4.7549999999999999</v>
      </c>
      <c r="M537" s="9">
        <f t="shared" si="8"/>
        <v>9.51</v>
      </c>
      <c r="N537" s="3" t="str" cm="1">
        <f t="array" ref="N537">_xlfn.SWITCH(I537,
"Rob","Robusta",
"Exc","Excelsa",
"Ara","Arabica",
"Lib","Liberica",
"")</f>
        <v>Liberica</v>
      </c>
      <c r="O537" t="str" cm="1">
        <f t="array" ref="O537">_xlfn.SWITCH(J537,
"M","Medium",
"L","Light",
"D","Dark",
"")</f>
        <v>Light</v>
      </c>
      <c r="P537" t="str">
        <f>_xlfn.XLOOKUP(Orders[[#This Row],[Customer ID]],customers!$A$1:$A$1001,customers!$I$1:$I$1001,,0)</f>
        <v>No</v>
      </c>
    </row>
    <row r="538" spans="1:16" x14ac:dyDescent="0.35">
      <c r="A538" s="2" t="s">
        <v>3521</v>
      </c>
      <c r="B538" s="4">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_xlfn.XLOOKUP(D538,products!$A$1:$A$49,products!$B$1:$B$49,,0)</f>
        <v>Rob</v>
      </c>
      <c r="J538" t="str">
        <f>_xlfn.XLOOKUP(D538,products!$A$1:$A$49,products!$C$1:$C$49,,0)</f>
        <v>D</v>
      </c>
      <c r="K538" s="7">
        <f>_xlfn.XLOOKUP(D538,products!$A$1:$A$49,products!$D$1:$D$49,,0)</f>
        <v>0.2</v>
      </c>
      <c r="L538" s="9">
        <f>_xlfn.XLOOKUP(D538,products!$A$1:$A$49,products!$E$1:$E$49,,0)</f>
        <v>2.6849999999999996</v>
      </c>
      <c r="M538" s="9">
        <f t="shared" si="8"/>
        <v>8.0549999999999997</v>
      </c>
      <c r="N538" s="3" t="str" cm="1">
        <f t="array" ref="N538">_xlfn.SWITCH(I538,
"Rob","Robusta",
"Exc","Excelsa",
"Ara","Arabica",
"Lib","Liberica",
"")</f>
        <v>Robusta</v>
      </c>
      <c r="O538" t="str" cm="1">
        <f t="array" ref="O538">_xlfn.SWITCH(J538,
"M","Medium",
"L","Light",
"D","Dark",
"")</f>
        <v>Dark</v>
      </c>
      <c r="P538" t="str">
        <f>_xlfn.XLOOKUP(Orders[[#This Row],[Customer ID]],customers!$A$1:$A$1001,customers!$I$1:$I$1001,,0)</f>
        <v>Yes</v>
      </c>
    </row>
    <row r="539" spans="1:16" x14ac:dyDescent="0.35">
      <c r="A539" s="2" t="s">
        <v>3527</v>
      </c>
      <c r="B539" s="4">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_xlfn.XLOOKUP(D539,products!$A$1:$A$49,products!$B$1:$B$49,,0)</f>
        <v>Exc</v>
      </c>
      <c r="J539" t="str">
        <f>_xlfn.XLOOKUP(D539,products!$A$1:$A$49,products!$C$1:$C$49,,0)</f>
        <v>D</v>
      </c>
      <c r="K539" s="7">
        <f>_xlfn.XLOOKUP(D539,products!$A$1:$A$49,products!$D$1:$D$49,,0)</f>
        <v>2.5</v>
      </c>
      <c r="L539" s="9">
        <f>_xlfn.XLOOKUP(D539,products!$A$1:$A$49,products!$E$1:$E$49,,0)</f>
        <v>27.945</v>
      </c>
      <c r="M539" s="9">
        <f t="shared" si="8"/>
        <v>111.78</v>
      </c>
      <c r="N539" s="3" t="str" cm="1">
        <f t="array" ref="N539">_xlfn.SWITCH(I539,
"Rob","Robusta",
"Exc","Excelsa",
"Ara","Arabica",
"Lib","Liberica",
"")</f>
        <v>Excelsa</v>
      </c>
      <c r="O539" t="str" cm="1">
        <f t="array" ref="O539">_xlfn.SWITCH(J539,
"M","Medium",
"L","Light",
"D","Dark",
"")</f>
        <v>Dark</v>
      </c>
      <c r="P539" t="str">
        <f>_xlfn.XLOOKUP(Orders[[#This Row],[Customer ID]],customers!$A$1:$A$1001,customers!$I$1:$I$1001,,0)</f>
        <v>Yes</v>
      </c>
    </row>
    <row r="540" spans="1:16" x14ac:dyDescent="0.35">
      <c r="A540" s="2" t="s">
        <v>3532</v>
      </c>
      <c r="B540" s="4">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_xlfn.XLOOKUP(D540,products!$A$1:$A$49,products!$B$1:$B$49,,0)</f>
        <v>Rob</v>
      </c>
      <c r="J540" t="str">
        <f>_xlfn.XLOOKUP(D540,products!$A$1:$A$49,products!$C$1:$C$49,,0)</f>
        <v>D</v>
      </c>
      <c r="K540" s="7">
        <f>_xlfn.XLOOKUP(D540,products!$A$1:$A$49,products!$D$1:$D$49,,0)</f>
        <v>0.2</v>
      </c>
      <c r="L540" s="9">
        <f>_xlfn.XLOOKUP(D540,products!$A$1:$A$49,products!$E$1:$E$49,,0)</f>
        <v>2.6849999999999996</v>
      </c>
      <c r="M540" s="9">
        <f t="shared" si="8"/>
        <v>10.739999999999998</v>
      </c>
      <c r="N540" s="3" t="str" cm="1">
        <f t="array" ref="N540">_xlfn.SWITCH(I540,
"Rob","Robusta",
"Exc","Excelsa",
"Ara","Arabica",
"Lib","Liberica",
"")</f>
        <v>Robusta</v>
      </c>
      <c r="O540" t="str" cm="1">
        <f t="array" ref="O540">_xlfn.SWITCH(J540,
"M","Medium",
"L","Light",
"D","Dark",
"")</f>
        <v>Dark</v>
      </c>
      <c r="P540" t="str">
        <f>_xlfn.XLOOKUP(Orders[[#This Row],[Customer ID]],customers!$A$1:$A$1001,customers!$I$1:$I$1001,,0)</f>
        <v>Yes</v>
      </c>
    </row>
    <row r="541" spans="1:16" x14ac:dyDescent="0.35">
      <c r="A541" s="2" t="s">
        <v>3537</v>
      </c>
      <c r="B541" s="4">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_xlfn.XLOOKUP(D541,products!$A$1:$A$49,products!$B$1:$B$49,,0)</f>
        <v>Rob</v>
      </c>
      <c r="J541" t="str">
        <f>_xlfn.XLOOKUP(D541,products!$A$1:$A$49,products!$C$1:$C$49,,0)</f>
        <v>D</v>
      </c>
      <c r="K541" s="7">
        <f>_xlfn.XLOOKUP(D541,products!$A$1:$A$49,products!$D$1:$D$49,,0)</f>
        <v>0.5</v>
      </c>
      <c r="L541" s="9">
        <f>_xlfn.XLOOKUP(D541,products!$A$1:$A$49,products!$E$1:$E$49,,0)</f>
        <v>5.3699999999999992</v>
      </c>
      <c r="M541" s="9">
        <f t="shared" si="8"/>
        <v>26.849999999999994</v>
      </c>
      <c r="N541" s="3" t="str" cm="1">
        <f t="array" ref="N541">_xlfn.SWITCH(I541,
"Rob","Robusta",
"Exc","Excelsa",
"Ara","Arabica",
"Lib","Liberica",
"")</f>
        <v>Robusta</v>
      </c>
      <c r="O541" t="str" cm="1">
        <f t="array" ref="O541">_xlfn.SWITCH(J541,
"M","Medium",
"L","Light",
"D","Dark",
"")</f>
        <v>Dark</v>
      </c>
      <c r="P541" t="str">
        <f>_xlfn.XLOOKUP(Orders[[#This Row],[Customer ID]],customers!$A$1:$A$1001,customers!$I$1:$I$1001,,0)</f>
        <v>No</v>
      </c>
    </row>
    <row r="542" spans="1:16" x14ac:dyDescent="0.35">
      <c r="A542" s="2" t="s">
        <v>3542</v>
      </c>
      <c r="B542" s="4">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_xlfn.XLOOKUP(D542,products!$A$1:$A$49,products!$B$1:$B$49,,0)</f>
        <v>Lib</v>
      </c>
      <c r="J542" t="str">
        <f>_xlfn.XLOOKUP(D542,products!$A$1:$A$49,products!$C$1:$C$49,,0)</f>
        <v>L</v>
      </c>
      <c r="K542" s="7">
        <f>_xlfn.XLOOKUP(D542,products!$A$1:$A$49,products!$D$1:$D$49,,0)</f>
        <v>1</v>
      </c>
      <c r="L542" s="9">
        <f>_xlfn.XLOOKUP(D542,products!$A$1:$A$49,products!$E$1:$E$49,,0)</f>
        <v>15.85</v>
      </c>
      <c r="M542" s="9">
        <f t="shared" si="8"/>
        <v>63.4</v>
      </c>
      <c r="N542" s="3" t="str" cm="1">
        <f t="array" ref="N542">_xlfn.SWITCH(I542,
"Rob","Robusta",
"Exc","Excelsa",
"Ara","Arabica",
"Lib","Liberica",
"")</f>
        <v>Liberica</v>
      </c>
      <c r="O542" t="str" cm="1">
        <f t="array" ref="O542">_xlfn.SWITCH(J542,
"M","Medium",
"L","Light",
"D","Dark",
"")</f>
        <v>Light</v>
      </c>
      <c r="P542" t="str">
        <f>_xlfn.XLOOKUP(Orders[[#This Row],[Customer ID]],customers!$A$1:$A$1001,customers!$I$1:$I$1001,,0)</f>
        <v>Yes</v>
      </c>
    </row>
    <row r="543" spans="1:16" x14ac:dyDescent="0.35">
      <c r="A543" s="2" t="s">
        <v>3548</v>
      </c>
      <c r="B543" s="4">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_xlfn.XLOOKUP(D543,products!$A$1:$A$49,products!$B$1:$B$49,,0)</f>
        <v>Ara</v>
      </c>
      <c r="J543" t="str">
        <f>_xlfn.XLOOKUP(D543,products!$A$1:$A$49,products!$C$1:$C$49,,0)</f>
        <v>D</v>
      </c>
      <c r="K543" s="7">
        <f>_xlfn.XLOOKUP(D543,products!$A$1:$A$49,products!$D$1:$D$49,,0)</f>
        <v>2.5</v>
      </c>
      <c r="L543" s="9">
        <f>_xlfn.XLOOKUP(D543,products!$A$1:$A$49,products!$E$1:$E$49,,0)</f>
        <v>22.884999999999998</v>
      </c>
      <c r="M543" s="9">
        <f t="shared" si="8"/>
        <v>22.884999999999998</v>
      </c>
      <c r="N543" s="3" t="str" cm="1">
        <f t="array" ref="N543">_xlfn.SWITCH(I543,
"Rob","Robusta",
"Exc","Excelsa",
"Ara","Arabica",
"Lib","Liberica",
"")</f>
        <v>Arabica</v>
      </c>
      <c r="O543" t="str" cm="1">
        <f t="array" ref="O543">_xlfn.SWITCH(J543,
"M","Medium",
"L","Light",
"D","Dark",
"")</f>
        <v>Dark</v>
      </c>
      <c r="P543" t="str">
        <f>_xlfn.XLOOKUP(Orders[[#This Row],[Customer ID]],customers!$A$1:$A$1001,customers!$I$1:$I$1001,,0)</f>
        <v>Yes</v>
      </c>
    </row>
    <row r="544" spans="1:16" x14ac:dyDescent="0.35">
      <c r="A544" s="2" t="s">
        <v>3553</v>
      </c>
      <c r="B544" s="4">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_xlfn.XLOOKUP(D544,products!$A$1:$A$49,products!$B$1:$B$49,,0)</f>
        <v>Ara</v>
      </c>
      <c r="J544" t="str">
        <f>_xlfn.XLOOKUP(D544,products!$A$1:$A$49,products!$C$1:$C$49,,0)</f>
        <v>M</v>
      </c>
      <c r="K544" s="7">
        <f>_xlfn.XLOOKUP(D544,products!$A$1:$A$49,products!$D$1:$D$49,,0)</f>
        <v>2.5</v>
      </c>
      <c r="L544" s="9">
        <f>_xlfn.XLOOKUP(D544,products!$A$1:$A$49,products!$E$1:$E$49,,0)</f>
        <v>25.874999999999996</v>
      </c>
      <c r="M544" s="9">
        <f t="shared" si="8"/>
        <v>103.49999999999999</v>
      </c>
      <c r="N544" s="3" t="str" cm="1">
        <f t="array" ref="N544">_xlfn.SWITCH(I544,
"Rob","Robusta",
"Exc","Excelsa",
"Ara","Arabica",
"Lib","Liberica",
"")</f>
        <v>Arabica</v>
      </c>
      <c r="O544" t="str" cm="1">
        <f t="array" ref="O544">_xlfn.SWITCH(J544,
"M","Medium",
"L","Light",
"D","Dark",
"")</f>
        <v>Medium</v>
      </c>
      <c r="P544" t="str">
        <f>_xlfn.XLOOKUP(Orders[[#This Row],[Customer ID]],customers!$A$1:$A$1001,customers!$I$1:$I$1001,,0)</f>
        <v>No</v>
      </c>
    </row>
    <row r="545" spans="1:16" x14ac:dyDescent="0.35">
      <c r="A545" s="2" t="s">
        <v>3559</v>
      </c>
      <c r="B545" s="4">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_xlfn.XLOOKUP(D545,products!$A$1:$A$49,products!$B$1:$B$49,,0)</f>
        <v>Rob</v>
      </c>
      <c r="J545" t="str">
        <f>_xlfn.XLOOKUP(D545,products!$A$1:$A$49,products!$C$1:$C$49,,0)</f>
        <v>L</v>
      </c>
      <c r="K545" s="7">
        <f>_xlfn.XLOOKUP(D545,products!$A$1:$A$49,products!$D$1:$D$49,,0)</f>
        <v>2.5</v>
      </c>
      <c r="L545" s="9">
        <f>_xlfn.XLOOKUP(D545,products!$A$1:$A$49,products!$E$1:$E$49,,0)</f>
        <v>27.484999999999996</v>
      </c>
      <c r="M545" s="9">
        <f t="shared" si="8"/>
        <v>54.969999999999992</v>
      </c>
      <c r="N545" s="3" t="str" cm="1">
        <f t="array" ref="N545">_xlfn.SWITCH(I545,
"Rob","Robusta",
"Exc","Excelsa",
"Ara","Arabica",
"Lib","Liberica",
"")</f>
        <v>Robusta</v>
      </c>
      <c r="O545" t="str" cm="1">
        <f t="array" ref="O545">_xlfn.SWITCH(J545,
"M","Medium",
"L","Light",
"D","Dark",
"")</f>
        <v>Light</v>
      </c>
      <c r="P545" t="str">
        <f>_xlfn.XLOOKUP(Orders[[#This Row],[Customer ID]],customers!$A$1:$A$1001,customers!$I$1:$I$1001,,0)</f>
        <v>No</v>
      </c>
    </row>
    <row r="546" spans="1:16" x14ac:dyDescent="0.35">
      <c r="A546" s="2" t="s">
        <v>3565</v>
      </c>
      <c r="B546" s="4">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_xlfn.XLOOKUP(D546,products!$A$1:$A$49,products!$B$1:$B$49,,0)</f>
        <v>Ara</v>
      </c>
      <c r="J546" t="str">
        <f>_xlfn.XLOOKUP(D546,products!$A$1:$A$49,products!$C$1:$C$49,,0)</f>
        <v>L</v>
      </c>
      <c r="K546" s="7">
        <f>_xlfn.XLOOKUP(D546,products!$A$1:$A$49,products!$D$1:$D$49,,0)</f>
        <v>0.5</v>
      </c>
      <c r="L546" s="9">
        <f>_xlfn.XLOOKUP(D546,products!$A$1:$A$49,products!$E$1:$E$49,,0)</f>
        <v>7.77</v>
      </c>
      <c r="M546" s="9">
        <f t="shared" si="8"/>
        <v>15.54</v>
      </c>
      <c r="N546" s="3" t="str" cm="1">
        <f t="array" ref="N546">_xlfn.SWITCH(I546,
"Rob","Robusta",
"Exc","Excelsa",
"Ara","Arabica",
"Lib","Liberica",
"")</f>
        <v>Arabica</v>
      </c>
      <c r="O546" t="str" cm="1">
        <f t="array" ref="O546">_xlfn.SWITCH(J546,
"M","Medium",
"L","Light",
"D","Dark",
"")</f>
        <v>Light</v>
      </c>
      <c r="P546" t="str">
        <f>_xlfn.XLOOKUP(Orders[[#This Row],[Customer ID]],customers!$A$1:$A$1001,customers!$I$1:$I$1001,,0)</f>
        <v>No</v>
      </c>
    </row>
    <row r="547" spans="1:16" x14ac:dyDescent="0.35">
      <c r="A547" s="2" t="s">
        <v>3571</v>
      </c>
      <c r="B547" s="4">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_xlfn.XLOOKUP(D547,products!$A$1:$A$49,products!$B$1:$B$49,,0)</f>
        <v>Lib</v>
      </c>
      <c r="J547" t="str">
        <f>_xlfn.XLOOKUP(D547,products!$A$1:$A$49,products!$C$1:$C$49,,0)</f>
        <v>D</v>
      </c>
      <c r="K547" s="7">
        <f>_xlfn.XLOOKUP(D547,products!$A$1:$A$49,products!$D$1:$D$49,,0)</f>
        <v>0.2</v>
      </c>
      <c r="L547" s="9">
        <f>_xlfn.XLOOKUP(D547,products!$A$1:$A$49,products!$E$1:$E$49,,0)</f>
        <v>3.8849999999999998</v>
      </c>
      <c r="M547" s="9">
        <f t="shared" si="8"/>
        <v>15.54</v>
      </c>
      <c r="N547" s="3" t="str" cm="1">
        <f t="array" ref="N547">_xlfn.SWITCH(I547,
"Rob","Robusta",
"Exc","Excelsa",
"Ara","Arabica",
"Lib","Liberica",
"")</f>
        <v>Liberica</v>
      </c>
      <c r="O547" t="str" cm="1">
        <f t="array" ref="O547">_xlfn.SWITCH(J547,
"M","Medium",
"L","Light",
"D","Dark",
"")</f>
        <v>Dark</v>
      </c>
      <c r="P547" t="str">
        <f>_xlfn.XLOOKUP(Orders[[#This Row],[Customer ID]],customers!$A$1:$A$1001,customers!$I$1:$I$1001,,0)</f>
        <v>No</v>
      </c>
    </row>
    <row r="548" spans="1:16" x14ac:dyDescent="0.35">
      <c r="A548" s="2" t="s">
        <v>3577</v>
      </c>
      <c r="B548" s="4">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_xlfn.XLOOKUP(D548,products!$A$1:$A$49,products!$B$1:$B$49,,0)</f>
        <v>Exc</v>
      </c>
      <c r="J548" t="str">
        <f>_xlfn.XLOOKUP(D548,products!$A$1:$A$49,products!$C$1:$C$49,,0)</f>
        <v>D</v>
      </c>
      <c r="K548" s="7">
        <f>_xlfn.XLOOKUP(D548,products!$A$1:$A$49,products!$D$1:$D$49,,0)</f>
        <v>2.5</v>
      </c>
      <c r="L548" s="9">
        <f>_xlfn.XLOOKUP(D548,products!$A$1:$A$49,products!$E$1:$E$49,,0)</f>
        <v>27.945</v>
      </c>
      <c r="M548" s="9">
        <f t="shared" si="8"/>
        <v>83.835000000000008</v>
      </c>
      <c r="N548" s="3" t="str" cm="1">
        <f t="array" ref="N548">_xlfn.SWITCH(I548,
"Rob","Robusta",
"Exc","Excelsa",
"Ara","Arabica",
"Lib","Liberica",
"")</f>
        <v>Excelsa</v>
      </c>
      <c r="O548" t="str" cm="1">
        <f t="array" ref="O548">_xlfn.SWITCH(J548,
"M","Medium",
"L","Light",
"D","Dark",
"")</f>
        <v>Dark</v>
      </c>
      <c r="P548" t="str">
        <f>_xlfn.XLOOKUP(Orders[[#This Row],[Customer ID]],customers!$A$1:$A$1001,customers!$I$1:$I$1001,,0)</f>
        <v>No</v>
      </c>
    </row>
    <row r="549" spans="1:16" x14ac:dyDescent="0.35">
      <c r="A549" s="2" t="s">
        <v>3582</v>
      </c>
      <c r="B549" s="4">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_xlfn.XLOOKUP(D549,products!$A$1:$A$49,products!$B$1:$B$49,,0)</f>
        <v>Rob</v>
      </c>
      <c r="J549" t="str">
        <f>_xlfn.XLOOKUP(D549,products!$A$1:$A$49,products!$C$1:$C$49,,0)</f>
        <v>L</v>
      </c>
      <c r="K549" s="7">
        <f>_xlfn.XLOOKUP(D549,products!$A$1:$A$49,products!$D$1:$D$49,,0)</f>
        <v>0.2</v>
      </c>
      <c r="L549" s="9">
        <f>_xlfn.XLOOKUP(D549,products!$A$1:$A$49,products!$E$1:$E$49,,0)</f>
        <v>3.5849999999999995</v>
      </c>
      <c r="M549" s="9">
        <f t="shared" si="8"/>
        <v>10.754999999999999</v>
      </c>
      <c r="N549" s="3" t="str" cm="1">
        <f t="array" ref="N549">_xlfn.SWITCH(I549,
"Rob","Robusta",
"Exc","Excelsa",
"Ara","Arabica",
"Lib","Liberica",
"")</f>
        <v>Robusta</v>
      </c>
      <c r="O549" t="str" cm="1">
        <f t="array" ref="O549">_xlfn.SWITCH(J549,
"M","Medium",
"L","Light",
"D","Dark",
"")</f>
        <v>Light</v>
      </c>
      <c r="P549" t="str">
        <f>_xlfn.XLOOKUP(Orders[[#This Row],[Customer ID]],customers!$A$1:$A$1001,customers!$I$1:$I$1001,,0)</f>
        <v>Yes</v>
      </c>
    </row>
    <row r="550" spans="1:16" x14ac:dyDescent="0.35">
      <c r="A550" s="2" t="s">
        <v>3587</v>
      </c>
      <c r="B550" s="4">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_xlfn.XLOOKUP(D550,products!$A$1:$A$49,products!$B$1:$B$49,,0)</f>
        <v>Exc</v>
      </c>
      <c r="J550" t="str">
        <f>_xlfn.XLOOKUP(D550,products!$A$1:$A$49,products!$C$1:$C$49,,0)</f>
        <v>L</v>
      </c>
      <c r="K550" s="7">
        <f>_xlfn.XLOOKUP(D550,products!$A$1:$A$49,products!$D$1:$D$49,,0)</f>
        <v>0.2</v>
      </c>
      <c r="L550" s="9">
        <f>_xlfn.XLOOKUP(D550,products!$A$1:$A$49,products!$E$1:$E$49,,0)</f>
        <v>4.4550000000000001</v>
      </c>
      <c r="M550" s="9">
        <f t="shared" si="8"/>
        <v>13.365</v>
      </c>
      <c r="N550" s="3" t="str" cm="1">
        <f t="array" ref="N550">_xlfn.SWITCH(I550,
"Rob","Robusta",
"Exc","Excelsa",
"Ara","Arabica",
"Lib","Liberica",
"")</f>
        <v>Excelsa</v>
      </c>
      <c r="O550" t="str" cm="1">
        <f t="array" ref="O550">_xlfn.SWITCH(J550,
"M","Medium",
"L","Light",
"D","Dark",
"")</f>
        <v>Light</v>
      </c>
      <c r="P550" t="str">
        <f>_xlfn.XLOOKUP(Orders[[#This Row],[Customer ID]],customers!$A$1:$A$1001,customers!$I$1:$I$1001,,0)</f>
        <v>Yes</v>
      </c>
    </row>
    <row r="551" spans="1:16" x14ac:dyDescent="0.35">
      <c r="A551" s="2" t="s">
        <v>3593</v>
      </c>
      <c r="B551" s="4">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_xlfn.XLOOKUP(D551,products!$A$1:$A$49,products!$B$1:$B$49,,0)</f>
        <v>Exc</v>
      </c>
      <c r="J551" t="str">
        <f>_xlfn.XLOOKUP(D551,products!$A$1:$A$49,products!$C$1:$C$49,,0)</f>
        <v>L</v>
      </c>
      <c r="K551" s="7">
        <f>_xlfn.XLOOKUP(D551,products!$A$1:$A$49,products!$D$1:$D$49,,0)</f>
        <v>0.2</v>
      </c>
      <c r="L551" s="9">
        <f>_xlfn.XLOOKUP(D551,products!$A$1:$A$49,products!$E$1:$E$49,,0)</f>
        <v>4.4550000000000001</v>
      </c>
      <c r="M551" s="9">
        <f t="shared" si="8"/>
        <v>17.82</v>
      </c>
      <c r="N551" s="3" t="str" cm="1">
        <f t="array" ref="N551">_xlfn.SWITCH(I551,
"Rob","Robusta",
"Exc","Excelsa",
"Ara","Arabica",
"Lib","Liberica",
"")</f>
        <v>Excelsa</v>
      </c>
      <c r="O551" t="str" cm="1">
        <f t="array" ref="O551">_xlfn.SWITCH(J551,
"M","Medium",
"L","Light",
"D","Dark",
"")</f>
        <v>Light</v>
      </c>
      <c r="P551" t="str">
        <f>_xlfn.XLOOKUP(Orders[[#This Row],[Customer ID]],customers!$A$1:$A$1001,customers!$I$1:$I$1001,,0)</f>
        <v>Yes</v>
      </c>
    </row>
    <row r="552" spans="1:16" x14ac:dyDescent="0.35">
      <c r="A552" s="2" t="s">
        <v>3599</v>
      </c>
      <c r="B552" s="4">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_xlfn.XLOOKUP(D552,products!$A$1:$A$49,products!$B$1:$B$49,,0)</f>
        <v>Lib</v>
      </c>
      <c r="J552" t="str">
        <f>_xlfn.XLOOKUP(D552,products!$A$1:$A$49,products!$C$1:$C$49,,0)</f>
        <v>D</v>
      </c>
      <c r="K552" s="7">
        <f>_xlfn.XLOOKUP(D552,products!$A$1:$A$49,products!$D$1:$D$49,,0)</f>
        <v>0.2</v>
      </c>
      <c r="L552" s="9">
        <f>_xlfn.XLOOKUP(D552,products!$A$1:$A$49,products!$E$1:$E$49,,0)</f>
        <v>3.8849999999999998</v>
      </c>
      <c r="M552" s="9">
        <f t="shared" si="8"/>
        <v>23.31</v>
      </c>
      <c r="N552" s="3" t="str" cm="1">
        <f t="array" ref="N552">_xlfn.SWITCH(I552,
"Rob","Robusta",
"Exc","Excelsa",
"Ara","Arabica",
"Lib","Liberica",
"")</f>
        <v>Liberica</v>
      </c>
      <c r="O552" t="str" cm="1">
        <f t="array" ref="O552">_xlfn.SWITCH(J552,
"M","Medium",
"L","Light",
"D","Dark",
"")</f>
        <v>Dark</v>
      </c>
      <c r="P552" t="str">
        <f>_xlfn.XLOOKUP(Orders[[#This Row],[Customer ID]],customers!$A$1:$A$1001,customers!$I$1:$I$1001,,0)</f>
        <v>Yes</v>
      </c>
    </row>
    <row r="553" spans="1:16" x14ac:dyDescent="0.35">
      <c r="A553" s="2" t="s">
        <v>3605</v>
      </c>
      <c r="B553" s="4">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_xlfn.XLOOKUP(D553,products!$A$1:$A$49,products!$B$1:$B$49,,0)</f>
        <v>Exc</v>
      </c>
      <c r="J553" t="str">
        <f>_xlfn.XLOOKUP(D553,products!$A$1:$A$49,products!$C$1:$C$49,,0)</f>
        <v>D</v>
      </c>
      <c r="K553" s="7">
        <f>_xlfn.XLOOKUP(D553,products!$A$1:$A$49,products!$D$1:$D$49,,0)</f>
        <v>0.2</v>
      </c>
      <c r="L553" s="9">
        <f>_xlfn.XLOOKUP(D553,products!$A$1:$A$49,products!$E$1:$E$49,,0)</f>
        <v>3.645</v>
      </c>
      <c r="M553" s="9">
        <f t="shared" si="8"/>
        <v>7.29</v>
      </c>
      <c r="N553" s="3" t="str" cm="1">
        <f t="array" ref="N553">_xlfn.SWITCH(I553,
"Rob","Robusta",
"Exc","Excelsa",
"Ara","Arabica",
"Lib","Liberica",
"")</f>
        <v>Excelsa</v>
      </c>
      <c r="O553" t="str" cm="1">
        <f t="array" ref="O553">_xlfn.SWITCH(J553,
"M","Medium",
"L","Light",
"D","Dark",
"")</f>
        <v>Dark</v>
      </c>
      <c r="P553" t="str">
        <f>_xlfn.XLOOKUP(Orders[[#This Row],[Customer ID]],customers!$A$1:$A$1001,customers!$I$1:$I$1001,,0)</f>
        <v>No</v>
      </c>
    </row>
    <row r="554" spans="1:16" x14ac:dyDescent="0.35">
      <c r="A554" s="2" t="s">
        <v>3611</v>
      </c>
      <c r="B554" s="4">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_xlfn.XLOOKUP(D554,products!$A$1:$A$49,products!$B$1:$B$49,,0)</f>
        <v>Exc</v>
      </c>
      <c r="J554" t="str">
        <f>_xlfn.XLOOKUP(D554,products!$A$1:$A$49,products!$C$1:$C$49,,0)</f>
        <v>L</v>
      </c>
      <c r="K554" s="7">
        <f>_xlfn.XLOOKUP(D554,products!$A$1:$A$49,products!$D$1:$D$49,,0)</f>
        <v>0.2</v>
      </c>
      <c r="L554" s="9">
        <f>_xlfn.XLOOKUP(D554,products!$A$1:$A$49,products!$E$1:$E$49,,0)</f>
        <v>4.4550000000000001</v>
      </c>
      <c r="M554" s="9">
        <f t="shared" si="8"/>
        <v>17.82</v>
      </c>
      <c r="N554" s="3" t="str" cm="1">
        <f t="array" ref="N554">_xlfn.SWITCH(I554,
"Rob","Robusta",
"Exc","Excelsa",
"Ara","Arabica",
"Lib","Liberica",
"")</f>
        <v>Excelsa</v>
      </c>
      <c r="O554" t="str" cm="1">
        <f t="array" ref="O554">_xlfn.SWITCH(J554,
"M","Medium",
"L","Light",
"D","Dark",
"")</f>
        <v>Light</v>
      </c>
      <c r="P554" t="str">
        <f>_xlfn.XLOOKUP(Orders[[#This Row],[Customer ID]],customers!$A$1:$A$1001,customers!$I$1:$I$1001,,0)</f>
        <v>Yes</v>
      </c>
    </row>
    <row r="555" spans="1:16" x14ac:dyDescent="0.35">
      <c r="A555" s="2" t="s">
        <v>3617</v>
      </c>
      <c r="B555" s="4">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_xlfn.XLOOKUP(D555,products!$A$1:$A$49,products!$B$1:$B$49,,0)</f>
        <v>Exc</v>
      </c>
      <c r="J555" t="str">
        <f>_xlfn.XLOOKUP(D555,products!$A$1:$A$49,products!$C$1:$C$49,,0)</f>
        <v>M</v>
      </c>
      <c r="K555" s="7">
        <f>_xlfn.XLOOKUP(D555,products!$A$1:$A$49,products!$D$1:$D$49,,0)</f>
        <v>1</v>
      </c>
      <c r="L555" s="9">
        <f>_xlfn.XLOOKUP(D555,products!$A$1:$A$49,products!$E$1:$E$49,,0)</f>
        <v>13.75</v>
      </c>
      <c r="M555" s="9">
        <f t="shared" si="8"/>
        <v>68.75</v>
      </c>
      <c r="N555" s="3" t="str" cm="1">
        <f t="array" ref="N555">_xlfn.SWITCH(I555,
"Rob","Robusta",
"Exc","Excelsa",
"Ara","Arabica",
"Lib","Liberica",
"")</f>
        <v>Excelsa</v>
      </c>
      <c r="O555" t="str" cm="1">
        <f t="array" ref="O555">_xlfn.SWITCH(J555,
"M","Medium",
"L","Light",
"D","Dark",
"")</f>
        <v>Medium</v>
      </c>
      <c r="P555" t="str">
        <f>_xlfn.XLOOKUP(Orders[[#This Row],[Customer ID]],customers!$A$1:$A$1001,customers!$I$1:$I$1001,,0)</f>
        <v>No</v>
      </c>
    </row>
    <row r="556" spans="1:16" x14ac:dyDescent="0.35">
      <c r="A556" s="2" t="s">
        <v>3622</v>
      </c>
      <c r="B556" s="4">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_xlfn.XLOOKUP(D556,products!$A$1:$A$49,products!$B$1:$B$49,,0)</f>
        <v>Rob</v>
      </c>
      <c r="J556" t="str">
        <f>_xlfn.XLOOKUP(D556,products!$A$1:$A$49,products!$C$1:$C$49,,0)</f>
        <v>L</v>
      </c>
      <c r="K556" s="7">
        <f>_xlfn.XLOOKUP(D556,products!$A$1:$A$49,products!$D$1:$D$49,,0)</f>
        <v>2.5</v>
      </c>
      <c r="L556" s="9">
        <f>_xlfn.XLOOKUP(D556,products!$A$1:$A$49,products!$E$1:$E$49,,0)</f>
        <v>27.484999999999996</v>
      </c>
      <c r="M556" s="9">
        <f t="shared" si="8"/>
        <v>54.969999999999992</v>
      </c>
      <c r="N556" s="3" t="str" cm="1">
        <f t="array" ref="N556">_xlfn.SWITCH(I556,
"Rob","Robusta",
"Exc","Excelsa",
"Ara","Arabica",
"Lib","Liberica",
"")</f>
        <v>Robusta</v>
      </c>
      <c r="O556" t="str" cm="1">
        <f t="array" ref="O556">_xlfn.SWITCH(J556,
"M","Medium",
"L","Light",
"D","Dark",
"")</f>
        <v>Light</v>
      </c>
      <c r="P556" t="str">
        <f>_xlfn.XLOOKUP(Orders[[#This Row],[Customer ID]],customers!$A$1:$A$1001,customers!$I$1:$I$1001,,0)</f>
        <v>Yes</v>
      </c>
    </row>
    <row r="557" spans="1:16" x14ac:dyDescent="0.35">
      <c r="A557" s="2" t="s">
        <v>3627</v>
      </c>
      <c r="B557" s="4">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_xlfn.XLOOKUP(D557,products!$A$1:$A$49,products!$B$1:$B$49,,0)</f>
        <v>Exc</v>
      </c>
      <c r="J557" t="str">
        <f>_xlfn.XLOOKUP(D557,products!$A$1:$A$49,products!$C$1:$C$49,,0)</f>
        <v>M</v>
      </c>
      <c r="K557" s="7">
        <f>_xlfn.XLOOKUP(D557,products!$A$1:$A$49,products!$D$1:$D$49,,0)</f>
        <v>1</v>
      </c>
      <c r="L557" s="9">
        <f>_xlfn.XLOOKUP(D557,products!$A$1:$A$49,products!$E$1:$E$49,,0)</f>
        <v>13.75</v>
      </c>
      <c r="M557" s="9">
        <f t="shared" si="8"/>
        <v>82.5</v>
      </c>
      <c r="N557" s="3" t="str" cm="1">
        <f t="array" ref="N557">_xlfn.SWITCH(I557,
"Rob","Robusta",
"Exc","Excelsa",
"Ara","Arabica",
"Lib","Liberica",
"")</f>
        <v>Excelsa</v>
      </c>
      <c r="O557" t="str" cm="1">
        <f t="array" ref="O557">_xlfn.SWITCH(J557,
"M","Medium",
"L","Light",
"D","Dark",
"")</f>
        <v>Medium</v>
      </c>
      <c r="P557" t="str">
        <f>_xlfn.XLOOKUP(Orders[[#This Row],[Customer ID]],customers!$A$1:$A$1001,customers!$I$1:$I$1001,,0)</f>
        <v>No</v>
      </c>
    </row>
    <row r="558" spans="1:16" x14ac:dyDescent="0.35">
      <c r="A558" s="2" t="s">
        <v>3633</v>
      </c>
      <c r="B558" s="4">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_xlfn.XLOOKUP(D558,products!$A$1:$A$49,products!$B$1:$B$49,,0)</f>
        <v>Lib</v>
      </c>
      <c r="J558" t="str">
        <f>_xlfn.XLOOKUP(D558,products!$A$1:$A$49,products!$C$1:$C$49,,0)</f>
        <v>M</v>
      </c>
      <c r="K558" s="7">
        <f>_xlfn.XLOOKUP(D558,products!$A$1:$A$49,products!$D$1:$D$49,,0)</f>
        <v>0.2</v>
      </c>
      <c r="L558" s="9">
        <f>_xlfn.XLOOKUP(D558,products!$A$1:$A$49,products!$E$1:$E$49,,0)</f>
        <v>4.3650000000000002</v>
      </c>
      <c r="M558" s="9">
        <f t="shared" si="8"/>
        <v>8.73</v>
      </c>
      <c r="N558" s="3" t="str" cm="1">
        <f t="array" ref="N558">_xlfn.SWITCH(I558,
"Rob","Robusta",
"Exc","Excelsa",
"Ara","Arabica",
"Lib","Liberica",
"")</f>
        <v>Liberica</v>
      </c>
      <c r="O558" t="str" cm="1">
        <f t="array" ref="O558">_xlfn.SWITCH(J558,
"M","Medium",
"L","Light",
"D","Dark",
"")</f>
        <v>Medium</v>
      </c>
      <c r="P558" t="str">
        <f>_xlfn.XLOOKUP(Orders[[#This Row],[Customer ID]],customers!$A$1:$A$1001,customers!$I$1:$I$1001,,0)</f>
        <v>Yes</v>
      </c>
    </row>
    <row r="559" spans="1:16" x14ac:dyDescent="0.35">
      <c r="A559" s="2" t="s">
        <v>3638</v>
      </c>
      <c r="B559" s="4">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_xlfn.XLOOKUP(D559,products!$A$1:$A$49,products!$B$1:$B$49,,0)</f>
        <v>Exc</v>
      </c>
      <c r="J559" t="str">
        <f>_xlfn.XLOOKUP(D559,products!$A$1:$A$49,products!$C$1:$C$49,,0)</f>
        <v>L</v>
      </c>
      <c r="K559" s="7">
        <f>_xlfn.XLOOKUP(D559,products!$A$1:$A$49,products!$D$1:$D$49,,0)</f>
        <v>1</v>
      </c>
      <c r="L559" s="9">
        <f>_xlfn.XLOOKUP(D559,products!$A$1:$A$49,products!$E$1:$E$49,,0)</f>
        <v>14.85</v>
      </c>
      <c r="M559" s="9">
        <f t="shared" si="8"/>
        <v>59.4</v>
      </c>
      <c r="N559" s="3" t="str" cm="1">
        <f t="array" ref="N559">_xlfn.SWITCH(I559,
"Rob","Robusta",
"Exc","Excelsa",
"Ara","Arabica",
"Lib","Liberica",
"")</f>
        <v>Excelsa</v>
      </c>
      <c r="O559" t="str" cm="1">
        <f t="array" ref="O559">_xlfn.SWITCH(J559,
"M","Medium",
"L","Light",
"D","Dark",
"")</f>
        <v>Light</v>
      </c>
      <c r="P559" t="str">
        <f>_xlfn.XLOOKUP(Orders[[#This Row],[Customer ID]],customers!$A$1:$A$1001,customers!$I$1:$I$1001,,0)</f>
        <v>Yes</v>
      </c>
    </row>
    <row r="560" spans="1:16" x14ac:dyDescent="0.35">
      <c r="A560" s="2" t="s">
        <v>3643</v>
      </c>
      <c r="B560" s="4">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_xlfn.XLOOKUP(D560,products!$A$1:$A$49,products!$B$1:$B$49,,0)</f>
        <v>Lib</v>
      </c>
      <c r="J560" t="str">
        <f>_xlfn.XLOOKUP(D560,products!$A$1:$A$49,products!$C$1:$C$49,,0)</f>
        <v>D</v>
      </c>
      <c r="K560" s="7">
        <f>_xlfn.XLOOKUP(D560,products!$A$1:$A$49,products!$D$1:$D$49,,0)</f>
        <v>0.2</v>
      </c>
      <c r="L560" s="9">
        <f>_xlfn.XLOOKUP(D560,products!$A$1:$A$49,products!$E$1:$E$49,,0)</f>
        <v>3.8849999999999998</v>
      </c>
      <c r="M560" s="9">
        <f t="shared" si="8"/>
        <v>15.54</v>
      </c>
      <c r="N560" s="3" t="str" cm="1">
        <f t="array" ref="N560">_xlfn.SWITCH(I560,
"Rob","Robusta",
"Exc","Excelsa",
"Ara","Arabica",
"Lib","Liberica",
"")</f>
        <v>Liberica</v>
      </c>
      <c r="O560" t="str" cm="1">
        <f t="array" ref="O560">_xlfn.SWITCH(J560,
"M","Medium",
"L","Light",
"D","Dark",
"")</f>
        <v>Dark</v>
      </c>
      <c r="P560" t="str">
        <f>_xlfn.XLOOKUP(Orders[[#This Row],[Customer ID]],customers!$A$1:$A$1001,customers!$I$1:$I$1001,,0)</f>
        <v>Yes</v>
      </c>
    </row>
    <row r="561" spans="1:16" x14ac:dyDescent="0.35">
      <c r="A561" s="2" t="s">
        <v>3648</v>
      </c>
      <c r="B561" s="4">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_xlfn.XLOOKUP(D561,products!$A$1:$A$49,products!$B$1:$B$49,,0)</f>
        <v>Ara</v>
      </c>
      <c r="J561" t="str">
        <f>_xlfn.XLOOKUP(D561,products!$A$1:$A$49,products!$C$1:$C$49,,0)</f>
        <v>L</v>
      </c>
      <c r="K561" s="7">
        <f>_xlfn.XLOOKUP(D561,products!$A$1:$A$49,products!$D$1:$D$49,,0)</f>
        <v>1</v>
      </c>
      <c r="L561" s="9">
        <f>_xlfn.XLOOKUP(D561,products!$A$1:$A$49,products!$E$1:$E$49,,0)</f>
        <v>12.95</v>
      </c>
      <c r="M561" s="9">
        <f t="shared" si="8"/>
        <v>38.849999999999994</v>
      </c>
      <c r="N561" s="3" t="str" cm="1">
        <f t="array" ref="N561">_xlfn.SWITCH(I561,
"Rob","Robusta",
"Exc","Excelsa",
"Ara","Arabica",
"Lib","Liberica",
"")</f>
        <v>Arabica</v>
      </c>
      <c r="O561" t="str" cm="1">
        <f t="array" ref="O561">_xlfn.SWITCH(J561,
"M","Medium",
"L","Light",
"D","Dark",
"")</f>
        <v>Light</v>
      </c>
      <c r="P561" t="str">
        <f>_xlfn.XLOOKUP(Orders[[#This Row],[Customer ID]],customers!$A$1:$A$1001,customers!$I$1:$I$1001,,0)</f>
        <v>Yes</v>
      </c>
    </row>
    <row r="562" spans="1:16" x14ac:dyDescent="0.35">
      <c r="A562" s="2" t="s">
        <v>3654</v>
      </c>
      <c r="B562" s="4">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_xlfn.XLOOKUP(D562,products!$A$1:$A$49,products!$B$1:$B$49,,0)</f>
        <v>Exc</v>
      </c>
      <c r="J562" t="str">
        <f>_xlfn.XLOOKUP(D562,products!$A$1:$A$49,products!$C$1:$C$49,,0)</f>
        <v>M</v>
      </c>
      <c r="K562" s="7">
        <f>_xlfn.XLOOKUP(D562,products!$A$1:$A$49,products!$D$1:$D$49,,0)</f>
        <v>2.5</v>
      </c>
      <c r="L562" s="9">
        <f>_xlfn.XLOOKUP(D562,products!$A$1:$A$49,products!$E$1:$E$49,,0)</f>
        <v>31.624999999999996</v>
      </c>
      <c r="M562" s="9">
        <f t="shared" si="8"/>
        <v>189.74999999999997</v>
      </c>
      <c r="N562" s="3" t="str" cm="1">
        <f t="array" ref="N562">_xlfn.SWITCH(I562,
"Rob","Robusta",
"Exc","Excelsa",
"Ara","Arabica",
"Lib","Liberica",
"")</f>
        <v>Excelsa</v>
      </c>
      <c r="O562" t="str" cm="1">
        <f t="array" ref="O562">_xlfn.SWITCH(J562,
"M","Medium",
"L","Light",
"D","Dark",
"")</f>
        <v>Medium</v>
      </c>
      <c r="P562" t="str">
        <f>_xlfn.XLOOKUP(Orders[[#This Row],[Customer ID]],customers!$A$1:$A$1001,customers!$I$1:$I$1001,,0)</f>
        <v>Yes</v>
      </c>
    </row>
    <row r="563" spans="1:16" x14ac:dyDescent="0.35">
      <c r="A563" s="2" t="s">
        <v>3659</v>
      </c>
      <c r="B563" s="4">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_xlfn.XLOOKUP(D563,products!$A$1:$A$49,products!$B$1:$B$49,,0)</f>
        <v>Ara</v>
      </c>
      <c r="J563" t="str">
        <f>_xlfn.XLOOKUP(D563,products!$A$1:$A$49,products!$C$1:$C$49,,0)</f>
        <v>D</v>
      </c>
      <c r="K563" s="7">
        <f>_xlfn.XLOOKUP(D563,products!$A$1:$A$49,products!$D$1:$D$49,,0)</f>
        <v>0.2</v>
      </c>
      <c r="L563" s="9">
        <f>_xlfn.XLOOKUP(D563,products!$A$1:$A$49,products!$E$1:$E$49,,0)</f>
        <v>2.9849999999999999</v>
      </c>
      <c r="M563" s="9">
        <f t="shared" si="8"/>
        <v>17.91</v>
      </c>
      <c r="N563" s="3" t="str" cm="1">
        <f t="array" ref="N563">_xlfn.SWITCH(I563,
"Rob","Robusta",
"Exc","Excelsa",
"Ara","Arabica",
"Lib","Liberica",
"")</f>
        <v>Arabica</v>
      </c>
      <c r="O563" t="str" cm="1">
        <f t="array" ref="O563">_xlfn.SWITCH(J563,
"M","Medium",
"L","Light",
"D","Dark",
"")</f>
        <v>Dark</v>
      </c>
      <c r="P563" t="str">
        <f>_xlfn.XLOOKUP(Orders[[#This Row],[Customer ID]],customers!$A$1:$A$1001,customers!$I$1:$I$1001,,0)</f>
        <v>Yes</v>
      </c>
    </row>
    <row r="564" spans="1:16" x14ac:dyDescent="0.35">
      <c r="A564" s="2" t="s">
        <v>3665</v>
      </c>
      <c r="B564" s="4">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_xlfn.XLOOKUP(D564,products!$A$1:$A$49,products!$B$1:$B$49,,0)</f>
        <v>Lib</v>
      </c>
      <c r="J564" t="str">
        <f>_xlfn.XLOOKUP(D564,products!$A$1:$A$49,products!$C$1:$C$49,,0)</f>
        <v>L</v>
      </c>
      <c r="K564" s="7">
        <f>_xlfn.XLOOKUP(D564,products!$A$1:$A$49,products!$D$1:$D$49,,0)</f>
        <v>0.2</v>
      </c>
      <c r="L564" s="9">
        <f>_xlfn.XLOOKUP(D564,products!$A$1:$A$49,products!$E$1:$E$49,,0)</f>
        <v>4.7549999999999999</v>
      </c>
      <c r="M564" s="9">
        <f t="shared" si="8"/>
        <v>28.53</v>
      </c>
      <c r="N564" s="3" t="str" cm="1">
        <f t="array" ref="N564">_xlfn.SWITCH(I564,
"Rob","Robusta",
"Exc","Excelsa",
"Ara","Arabica",
"Lib","Liberica",
"")</f>
        <v>Liberica</v>
      </c>
      <c r="O564" t="str" cm="1">
        <f t="array" ref="O564">_xlfn.SWITCH(J564,
"M","Medium",
"L","Light",
"D","Dark",
"")</f>
        <v>Light</v>
      </c>
      <c r="P564" t="str">
        <f>_xlfn.XLOOKUP(Orders[[#This Row],[Customer ID]],customers!$A$1:$A$1001,customers!$I$1:$I$1001,,0)</f>
        <v>No</v>
      </c>
    </row>
    <row r="565" spans="1:16" x14ac:dyDescent="0.35">
      <c r="A565" s="2" t="s">
        <v>3671</v>
      </c>
      <c r="B565" s="4">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_xlfn.XLOOKUP(D565,products!$A$1:$A$49,products!$B$1:$B$49,,0)</f>
        <v>Exc</v>
      </c>
      <c r="J565" t="str">
        <f>_xlfn.XLOOKUP(D565,products!$A$1:$A$49,products!$C$1:$C$49,,0)</f>
        <v>M</v>
      </c>
      <c r="K565" s="7">
        <f>_xlfn.XLOOKUP(D565,products!$A$1:$A$49,products!$D$1:$D$49,,0)</f>
        <v>1</v>
      </c>
      <c r="L565" s="9">
        <f>_xlfn.XLOOKUP(D565,products!$A$1:$A$49,products!$E$1:$E$49,,0)</f>
        <v>13.75</v>
      </c>
      <c r="M565" s="9">
        <f t="shared" si="8"/>
        <v>82.5</v>
      </c>
      <c r="N565" s="3" t="str" cm="1">
        <f t="array" ref="N565">_xlfn.SWITCH(I565,
"Rob","Robusta",
"Exc","Excelsa",
"Ara","Arabica",
"Lib","Liberica",
"")</f>
        <v>Excelsa</v>
      </c>
      <c r="O565" t="str" cm="1">
        <f t="array" ref="O565">_xlfn.SWITCH(J565,
"M","Medium",
"L","Light",
"D","Dark",
"")</f>
        <v>Medium</v>
      </c>
      <c r="P565" t="str">
        <f>_xlfn.XLOOKUP(Orders[[#This Row],[Customer ID]],customers!$A$1:$A$1001,customers!$I$1:$I$1001,,0)</f>
        <v>No</v>
      </c>
    </row>
    <row r="566" spans="1:16" x14ac:dyDescent="0.35">
      <c r="A566" s="2" t="s">
        <v>3677</v>
      </c>
      <c r="B566" s="4">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_xlfn.XLOOKUP(D566,products!$A$1:$A$49,products!$B$1:$B$49,,0)</f>
        <v>Rob</v>
      </c>
      <c r="J566" t="str">
        <f>_xlfn.XLOOKUP(D566,products!$A$1:$A$49,products!$C$1:$C$49,,0)</f>
        <v>L</v>
      </c>
      <c r="K566" s="7">
        <f>_xlfn.XLOOKUP(D566,products!$A$1:$A$49,products!$D$1:$D$49,,0)</f>
        <v>0.5</v>
      </c>
      <c r="L566" s="9">
        <f>_xlfn.XLOOKUP(D566,products!$A$1:$A$49,products!$E$1:$E$49,,0)</f>
        <v>7.169999999999999</v>
      </c>
      <c r="M566" s="9">
        <f t="shared" si="8"/>
        <v>14.339999999999998</v>
      </c>
      <c r="N566" s="3" t="str" cm="1">
        <f t="array" ref="N566">_xlfn.SWITCH(I566,
"Rob","Robusta",
"Exc","Excelsa",
"Ara","Arabica",
"Lib","Liberica",
"")</f>
        <v>Robusta</v>
      </c>
      <c r="O566" t="str" cm="1">
        <f t="array" ref="O566">_xlfn.SWITCH(J566,
"M","Medium",
"L","Light",
"D","Dark",
"")</f>
        <v>Light</v>
      </c>
      <c r="P566" t="str">
        <f>_xlfn.XLOOKUP(Orders[[#This Row],[Customer ID]],customers!$A$1:$A$1001,customers!$I$1:$I$1001,,0)</f>
        <v>No</v>
      </c>
    </row>
    <row r="567" spans="1:16" x14ac:dyDescent="0.35">
      <c r="A567" s="2" t="s">
        <v>3683</v>
      </c>
      <c r="B567" s="4">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_xlfn.XLOOKUP(D567,products!$A$1:$A$49,products!$B$1:$B$49,,0)</f>
        <v>Rob</v>
      </c>
      <c r="J567" t="str">
        <f>_xlfn.XLOOKUP(D567,products!$A$1:$A$49,products!$C$1:$C$49,,0)</f>
        <v>D</v>
      </c>
      <c r="K567" s="7">
        <f>_xlfn.XLOOKUP(D567,products!$A$1:$A$49,products!$D$1:$D$49,,0)</f>
        <v>2.5</v>
      </c>
      <c r="L567" s="9">
        <f>_xlfn.XLOOKUP(D567,products!$A$1:$A$49,products!$E$1:$E$49,,0)</f>
        <v>20.584999999999997</v>
      </c>
      <c r="M567" s="9">
        <f t="shared" si="8"/>
        <v>82.339999999999989</v>
      </c>
      <c r="N567" s="3" t="str" cm="1">
        <f t="array" ref="N567">_xlfn.SWITCH(I567,
"Rob","Robusta",
"Exc","Excelsa",
"Ara","Arabica",
"Lib","Liberica",
"")</f>
        <v>Robusta</v>
      </c>
      <c r="O567" t="str" cm="1">
        <f t="array" ref="O567">_xlfn.SWITCH(J567,
"M","Medium",
"L","Light",
"D","Dark",
"")</f>
        <v>Dark</v>
      </c>
      <c r="P567" t="str">
        <f>_xlfn.XLOOKUP(Orders[[#This Row],[Customer ID]],customers!$A$1:$A$1001,customers!$I$1:$I$1001,,0)</f>
        <v>No</v>
      </c>
    </row>
    <row r="568" spans="1:16" x14ac:dyDescent="0.35">
      <c r="A568" s="2" t="s">
        <v>3689</v>
      </c>
      <c r="B568" s="4">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_xlfn.XLOOKUP(D568,products!$A$1:$A$49,products!$B$1:$B$49,,0)</f>
        <v>Ara</v>
      </c>
      <c r="J568" t="str">
        <f>_xlfn.XLOOKUP(D568,products!$A$1:$A$49,products!$C$1:$C$49,,0)</f>
        <v>M</v>
      </c>
      <c r="K568" s="7">
        <f>_xlfn.XLOOKUP(D568,products!$A$1:$A$49,products!$D$1:$D$49,,0)</f>
        <v>0.2</v>
      </c>
      <c r="L568" s="9">
        <f>_xlfn.XLOOKUP(D568,products!$A$1:$A$49,products!$E$1:$E$49,,0)</f>
        <v>3.375</v>
      </c>
      <c r="M568" s="9">
        <f t="shared" si="8"/>
        <v>20.25</v>
      </c>
      <c r="N568" s="3" t="str" cm="1">
        <f t="array" ref="N568">_xlfn.SWITCH(I568,
"Rob","Robusta",
"Exc","Excelsa",
"Ara","Arabica",
"Lib","Liberica",
"")</f>
        <v>Arabica</v>
      </c>
      <c r="O568" t="str" cm="1">
        <f t="array" ref="O568">_xlfn.SWITCH(J568,
"M","Medium",
"L","Light",
"D","Dark",
"")</f>
        <v>Medium</v>
      </c>
      <c r="P568" t="str">
        <f>_xlfn.XLOOKUP(Orders[[#This Row],[Customer ID]],customers!$A$1:$A$1001,customers!$I$1:$I$1001,,0)</f>
        <v>Yes</v>
      </c>
    </row>
    <row r="569" spans="1:16" x14ac:dyDescent="0.35">
      <c r="A569" s="2" t="s">
        <v>3695</v>
      </c>
      <c r="B569" s="4">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_xlfn.XLOOKUP(D569,products!$A$1:$A$49,products!$B$1:$B$49,,0)</f>
        <v>Rob</v>
      </c>
      <c r="J569" t="str">
        <f>_xlfn.XLOOKUP(D569,products!$A$1:$A$49,products!$C$1:$C$49,,0)</f>
        <v>L</v>
      </c>
      <c r="K569" s="7">
        <f>_xlfn.XLOOKUP(D569,products!$A$1:$A$49,products!$D$1:$D$49,,0)</f>
        <v>2.5</v>
      </c>
      <c r="L569" s="9">
        <f>_xlfn.XLOOKUP(D569,products!$A$1:$A$49,products!$E$1:$E$49,,0)</f>
        <v>27.484999999999996</v>
      </c>
      <c r="M569" s="9">
        <f t="shared" si="8"/>
        <v>164.90999999999997</v>
      </c>
      <c r="N569" s="3" t="str" cm="1">
        <f t="array" ref="N569">_xlfn.SWITCH(I569,
"Rob","Robusta",
"Exc","Excelsa",
"Ara","Arabica",
"Lib","Liberica",
"")</f>
        <v>Robusta</v>
      </c>
      <c r="O569" t="str" cm="1">
        <f t="array" ref="O569">_xlfn.SWITCH(J569,
"M","Medium",
"L","Light",
"D","Dark",
"")</f>
        <v>Light</v>
      </c>
      <c r="P569" t="str">
        <f>_xlfn.XLOOKUP(Orders[[#This Row],[Customer ID]],customers!$A$1:$A$1001,customers!$I$1:$I$1001,,0)</f>
        <v>No</v>
      </c>
    </row>
    <row r="570" spans="1:16" x14ac:dyDescent="0.35">
      <c r="A570" s="2" t="s">
        <v>3700</v>
      </c>
      <c r="B570" s="4">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_xlfn.XLOOKUP(D570,products!$A$1:$A$49,products!$B$1:$B$49,,0)</f>
        <v>Lib</v>
      </c>
      <c r="J570" t="str">
        <f>_xlfn.XLOOKUP(D570,products!$A$1:$A$49,products!$C$1:$C$49,,0)</f>
        <v>L</v>
      </c>
      <c r="K570" s="7">
        <f>_xlfn.XLOOKUP(D570,products!$A$1:$A$49,products!$D$1:$D$49,,0)</f>
        <v>0.2</v>
      </c>
      <c r="L570" s="9">
        <f>_xlfn.XLOOKUP(D570,products!$A$1:$A$49,products!$E$1:$E$49,,0)</f>
        <v>4.7549999999999999</v>
      </c>
      <c r="M570" s="9">
        <f t="shared" si="8"/>
        <v>19.02</v>
      </c>
      <c r="N570" s="3" t="str" cm="1">
        <f t="array" ref="N570">_xlfn.SWITCH(I570,
"Rob","Robusta",
"Exc","Excelsa",
"Ara","Arabica",
"Lib","Liberica",
"")</f>
        <v>Liberica</v>
      </c>
      <c r="O570" t="str" cm="1">
        <f t="array" ref="O570">_xlfn.SWITCH(J570,
"M","Medium",
"L","Light",
"D","Dark",
"")</f>
        <v>Light</v>
      </c>
      <c r="P570" t="str">
        <f>_xlfn.XLOOKUP(Orders[[#This Row],[Customer ID]],customers!$A$1:$A$1001,customers!$I$1:$I$1001,,0)</f>
        <v>Yes</v>
      </c>
    </row>
    <row r="571" spans="1:16" x14ac:dyDescent="0.35">
      <c r="A571" s="2" t="s">
        <v>3706</v>
      </c>
      <c r="B571" s="4">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_xlfn.XLOOKUP(D571,products!$A$1:$A$49,products!$B$1:$B$49,,0)</f>
        <v>Ara</v>
      </c>
      <c r="J571" t="str">
        <f>_xlfn.XLOOKUP(D571,products!$A$1:$A$49,products!$C$1:$C$49,,0)</f>
        <v>D</v>
      </c>
      <c r="K571" s="7">
        <f>_xlfn.XLOOKUP(D571,products!$A$1:$A$49,products!$D$1:$D$49,,0)</f>
        <v>2.5</v>
      </c>
      <c r="L571" s="9">
        <f>_xlfn.XLOOKUP(D571,products!$A$1:$A$49,products!$E$1:$E$49,,0)</f>
        <v>22.884999999999998</v>
      </c>
      <c r="M571" s="9">
        <f t="shared" si="8"/>
        <v>137.31</v>
      </c>
      <c r="N571" s="3" t="str" cm="1">
        <f t="array" ref="N571">_xlfn.SWITCH(I571,
"Rob","Robusta",
"Exc","Excelsa",
"Ara","Arabica",
"Lib","Liberica",
"")</f>
        <v>Arabica</v>
      </c>
      <c r="O571" t="str" cm="1">
        <f t="array" ref="O571">_xlfn.SWITCH(J571,
"M","Medium",
"L","Light",
"D","Dark",
"")</f>
        <v>Dark</v>
      </c>
      <c r="P571" t="str">
        <f>_xlfn.XLOOKUP(Orders[[#This Row],[Customer ID]],customers!$A$1:$A$1001,customers!$I$1:$I$1001,,0)</f>
        <v>No</v>
      </c>
    </row>
    <row r="572" spans="1:16" x14ac:dyDescent="0.35">
      <c r="A572" s="2" t="s">
        <v>3712</v>
      </c>
      <c r="B572" s="4">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_xlfn.XLOOKUP(D572,products!$A$1:$A$49,products!$B$1:$B$49,,0)</f>
        <v>Ara</v>
      </c>
      <c r="J572" t="str">
        <f>_xlfn.XLOOKUP(D572,products!$A$1:$A$49,products!$C$1:$C$49,,0)</f>
        <v>M</v>
      </c>
      <c r="K572" s="7">
        <f>_xlfn.XLOOKUP(D572,products!$A$1:$A$49,products!$D$1:$D$49,,0)</f>
        <v>0.5</v>
      </c>
      <c r="L572" s="9">
        <f>_xlfn.XLOOKUP(D572,products!$A$1:$A$49,products!$E$1:$E$49,,0)</f>
        <v>6.75</v>
      </c>
      <c r="M572" s="9">
        <f t="shared" si="8"/>
        <v>27</v>
      </c>
      <c r="N572" s="3" t="str" cm="1">
        <f t="array" ref="N572">_xlfn.SWITCH(I572,
"Rob","Robusta",
"Exc","Excelsa",
"Ara","Arabica",
"Lib","Liberica",
"")</f>
        <v>Arabica</v>
      </c>
      <c r="O572" t="str" cm="1">
        <f t="array" ref="O572">_xlfn.SWITCH(J572,
"M","Medium",
"L","Light",
"D","Dark",
"")</f>
        <v>Medium</v>
      </c>
      <c r="P572" t="str">
        <f>_xlfn.XLOOKUP(Orders[[#This Row],[Customer ID]],customers!$A$1:$A$1001,customers!$I$1:$I$1001,,0)</f>
        <v>No</v>
      </c>
    </row>
    <row r="573" spans="1:16" x14ac:dyDescent="0.35">
      <c r="A573" s="2" t="s">
        <v>3718</v>
      </c>
      <c r="B573" s="4">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_xlfn.XLOOKUP(D573,products!$A$1:$A$49,products!$B$1:$B$49,,0)</f>
        <v>Exc</v>
      </c>
      <c r="J573" t="str">
        <f>_xlfn.XLOOKUP(D573,products!$A$1:$A$49,products!$C$1:$C$49,,0)</f>
        <v>L</v>
      </c>
      <c r="K573" s="7">
        <f>_xlfn.XLOOKUP(D573,products!$A$1:$A$49,products!$D$1:$D$49,,0)</f>
        <v>0.5</v>
      </c>
      <c r="L573" s="9">
        <f>_xlfn.XLOOKUP(D573,products!$A$1:$A$49,products!$E$1:$E$49,,0)</f>
        <v>8.91</v>
      </c>
      <c r="M573" s="9">
        <f t="shared" si="8"/>
        <v>35.64</v>
      </c>
      <c r="N573" s="3" t="str" cm="1">
        <f t="array" ref="N573">_xlfn.SWITCH(I573,
"Rob","Robusta",
"Exc","Excelsa",
"Ara","Arabica",
"Lib","Liberica",
"")</f>
        <v>Excelsa</v>
      </c>
      <c r="O573" t="str" cm="1">
        <f t="array" ref="O573">_xlfn.SWITCH(J573,
"M","Medium",
"L","Light",
"D","Dark",
"")</f>
        <v>Light</v>
      </c>
      <c r="P573" t="str">
        <f>_xlfn.XLOOKUP(Orders[[#This Row],[Customer ID]],customers!$A$1:$A$1001,customers!$I$1:$I$1001,,0)</f>
        <v>No</v>
      </c>
    </row>
    <row r="574" spans="1:16" x14ac:dyDescent="0.35">
      <c r="A574" s="2" t="s">
        <v>3724</v>
      </c>
      <c r="B574" s="4">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_xlfn.XLOOKUP(D574,products!$A$1:$A$49,products!$B$1:$B$49,,0)</f>
        <v>Ara</v>
      </c>
      <c r="J574" t="str">
        <f>_xlfn.XLOOKUP(D574,products!$A$1:$A$49,products!$C$1:$C$49,,0)</f>
        <v>D</v>
      </c>
      <c r="K574" s="7">
        <f>_xlfn.XLOOKUP(D574,products!$A$1:$A$49,products!$D$1:$D$49,,0)</f>
        <v>0.2</v>
      </c>
      <c r="L574" s="9">
        <f>_xlfn.XLOOKUP(D574,products!$A$1:$A$49,products!$E$1:$E$49,,0)</f>
        <v>2.9849999999999999</v>
      </c>
      <c r="M574" s="9">
        <f t="shared" si="8"/>
        <v>5.97</v>
      </c>
      <c r="N574" s="3" t="str" cm="1">
        <f t="array" ref="N574">_xlfn.SWITCH(I574,
"Rob","Robusta",
"Exc","Excelsa",
"Ara","Arabica",
"Lib","Liberica",
"")</f>
        <v>Arabica</v>
      </c>
      <c r="O574" t="str" cm="1">
        <f t="array" ref="O574">_xlfn.SWITCH(J574,
"M","Medium",
"L","Light",
"D","Dark",
"")</f>
        <v>Dark</v>
      </c>
      <c r="P574" t="str">
        <f>_xlfn.XLOOKUP(Orders[[#This Row],[Customer ID]],customers!$A$1:$A$1001,customers!$I$1:$I$1001,,0)</f>
        <v>Yes</v>
      </c>
    </row>
    <row r="575" spans="1:16" x14ac:dyDescent="0.35">
      <c r="A575" s="2" t="s">
        <v>3728</v>
      </c>
      <c r="B575" s="4">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_xlfn.XLOOKUP(D575,products!$A$1:$A$49,products!$B$1:$B$49,,0)</f>
        <v>Ara</v>
      </c>
      <c r="J575" t="str">
        <f>_xlfn.XLOOKUP(D575,products!$A$1:$A$49,products!$C$1:$C$49,,0)</f>
        <v>M</v>
      </c>
      <c r="K575" s="7">
        <f>_xlfn.XLOOKUP(D575,products!$A$1:$A$49,products!$D$1:$D$49,,0)</f>
        <v>1</v>
      </c>
      <c r="L575" s="9">
        <f>_xlfn.XLOOKUP(D575,products!$A$1:$A$49,products!$E$1:$E$49,,0)</f>
        <v>11.25</v>
      </c>
      <c r="M575" s="9">
        <f t="shared" si="8"/>
        <v>67.5</v>
      </c>
      <c r="N575" s="3" t="str" cm="1">
        <f t="array" ref="N575">_xlfn.SWITCH(I575,
"Rob","Robusta",
"Exc","Excelsa",
"Ara","Arabica",
"Lib","Liberica",
"")</f>
        <v>Arabica</v>
      </c>
      <c r="O575" t="str" cm="1">
        <f t="array" ref="O575">_xlfn.SWITCH(J575,
"M","Medium",
"L","Light",
"D","Dark",
"")</f>
        <v>Medium</v>
      </c>
      <c r="P575" t="str">
        <f>_xlfn.XLOOKUP(Orders[[#This Row],[Customer ID]],customers!$A$1:$A$1001,customers!$I$1:$I$1001,,0)</f>
        <v>No</v>
      </c>
    </row>
    <row r="576" spans="1:16" x14ac:dyDescent="0.35">
      <c r="A576" s="2" t="s">
        <v>3734</v>
      </c>
      <c r="B576" s="4">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_xlfn.XLOOKUP(D576,products!$A$1:$A$49,products!$B$1:$B$49,,0)</f>
        <v>Rob</v>
      </c>
      <c r="J576" t="str">
        <f>_xlfn.XLOOKUP(D576,products!$A$1:$A$49,products!$C$1:$C$49,,0)</f>
        <v>L</v>
      </c>
      <c r="K576" s="7">
        <f>_xlfn.XLOOKUP(D576,products!$A$1:$A$49,products!$D$1:$D$49,,0)</f>
        <v>0.2</v>
      </c>
      <c r="L576" s="9">
        <f>_xlfn.XLOOKUP(D576,products!$A$1:$A$49,products!$E$1:$E$49,,0)</f>
        <v>3.5849999999999995</v>
      </c>
      <c r="M576" s="9">
        <f t="shared" si="8"/>
        <v>21.509999999999998</v>
      </c>
      <c r="N576" s="3" t="str" cm="1">
        <f t="array" ref="N576">_xlfn.SWITCH(I576,
"Rob","Robusta",
"Exc","Excelsa",
"Ara","Arabica",
"Lib","Liberica",
"")</f>
        <v>Robusta</v>
      </c>
      <c r="O576" t="str" cm="1">
        <f t="array" ref="O576">_xlfn.SWITCH(J576,
"M","Medium",
"L","Light",
"D","Dark",
"")</f>
        <v>Light</v>
      </c>
      <c r="P576" t="str">
        <f>_xlfn.XLOOKUP(Orders[[#This Row],[Customer ID]],customers!$A$1:$A$1001,customers!$I$1:$I$1001,,0)</f>
        <v>Yes</v>
      </c>
    </row>
    <row r="577" spans="1:16" x14ac:dyDescent="0.35">
      <c r="A577" s="2" t="s">
        <v>3739</v>
      </c>
      <c r="B577" s="4">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_xlfn.XLOOKUP(D577,products!$A$1:$A$49,products!$B$1:$B$49,,0)</f>
        <v>Lib</v>
      </c>
      <c r="J577" t="str">
        <f>_xlfn.XLOOKUP(D577,products!$A$1:$A$49,products!$C$1:$C$49,,0)</f>
        <v>M</v>
      </c>
      <c r="K577" s="7">
        <f>_xlfn.XLOOKUP(D577,products!$A$1:$A$49,products!$D$1:$D$49,,0)</f>
        <v>2.5</v>
      </c>
      <c r="L577" s="9">
        <f>_xlfn.XLOOKUP(D577,products!$A$1:$A$49,products!$E$1:$E$49,,0)</f>
        <v>33.464999999999996</v>
      </c>
      <c r="M577" s="9">
        <f t="shared" si="8"/>
        <v>66.929999999999993</v>
      </c>
      <c r="N577" s="3" t="str" cm="1">
        <f t="array" ref="N577">_xlfn.SWITCH(I577,
"Rob","Robusta",
"Exc","Excelsa",
"Ara","Arabica",
"Lib","Liberica",
"")</f>
        <v>Liberica</v>
      </c>
      <c r="O577" t="str" cm="1">
        <f t="array" ref="O577">_xlfn.SWITCH(J577,
"M","Medium",
"L","Light",
"D","Dark",
"")</f>
        <v>Medium</v>
      </c>
      <c r="P577" t="str">
        <f>_xlfn.XLOOKUP(Orders[[#This Row],[Customer ID]],customers!$A$1:$A$1001,customers!$I$1:$I$1001,,0)</f>
        <v>No</v>
      </c>
    </row>
    <row r="578" spans="1:16" x14ac:dyDescent="0.35">
      <c r="A578" s="2" t="s">
        <v>3745</v>
      </c>
      <c r="B578" s="4">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_xlfn.XLOOKUP(D578,products!$A$1:$A$49,products!$B$1:$B$49,,0)</f>
        <v>Ara</v>
      </c>
      <c r="J578" t="str">
        <f>_xlfn.XLOOKUP(D578,products!$A$1:$A$49,products!$C$1:$C$49,,0)</f>
        <v>D</v>
      </c>
      <c r="K578" s="7">
        <f>_xlfn.XLOOKUP(D578,products!$A$1:$A$49,products!$D$1:$D$49,,0)</f>
        <v>0.2</v>
      </c>
      <c r="L578" s="9">
        <f>_xlfn.XLOOKUP(D578,products!$A$1:$A$49,products!$E$1:$E$49,,0)</f>
        <v>2.9849999999999999</v>
      </c>
      <c r="M578" s="9">
        <f t="shared" si="8"/>
        <v>17.91</v>
      </c>
      <c r="N578" s="3" t="str" cm="1">
        <f t="array" ref="N578">_xlfn.SWITCH(I578,
"Rob","Robusta",
"Exc","Excelsa",
"Ara","Arabica",
"Lib","Liberica",
"")</f>
        <v>Arabica</v>
      </c>
      <c r="O578" t="str" cm="1">
        <f t="array" ref="O578">_xlfn.SWITCH(J578,
"M","Medium",
"L","Light",
"D","Dark",
"")</f>
        <v>Dark</v>
      </c>
      <c r="P578" t="str">
        <f>_xlfn.XLOOKUP(Orders[[#This Row],[Customer ID]],customers!$A$1:$A$1001,customers!$I$1:$I$1001,,0)</f>
        <v>No</v>
      </c>
    </row>
    <row r="579" spans="1:16" x14ac:dyDescent="0.35">
      <c r="A579" s="2" t="s">
        <v>3751</v>
      </c>
      <c r="B579" s="4">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_xlfn.XLOOKUP(D579,products!$A$1:$A$49,products!$B$1:$B$49,,0)</f>
        <v>Lib</v>
      </c>
      <c r="J579" t="str">
        <f>_xlfn.XLOOKUP(D579,products!$A$1:$A$49,products!$C$1:$C$49,,0)</f>
        <v>M</v>
      </c>
      <c r="K579" s="7">
        <f>_xlfn.XLOOKUP(D579,products!$A$1:$A$49,products!$D$1:$D$49,,0)</f>
        <v>1</v>
      </c>
      <c r="L579" s="9">
        <f>_xlfn.XLOOKUP(D579,products!$A$1:$A$49,products!$E$1:$E$49,,0)</f>
        <v>14.55</v>
      </c>
      <c r="M579" s="9">
        <f t="shared" ref="M579:M642" si="9">L579*E579</f>
        <v>58.2</v>
      </c>
      <c r="N579" s="3" t="str" cm="1">
        <f t="array" ref="N579">_xlfn.SWITCH(I579,
"Rob","Robusta",
"Exc","Excelsa",
"Ara","Arabica",
"Lib","Liberica",
"")</f>
        <v>Liberica</v>
      </c>
      <c r="O579" t="str" cm="1">
        <f t="array" ref="O579">_xlfn.SWITCH(J579,
"M","Medium",
"L","Light",
"D","Dark",
"")</f>
        <v>Medium</v>
      </c>
      <c r="P579" t="str">
        <f>_xlfn.XLOOKUP(Orders[[#This Row],[Customer ID]],customers!$A$1:$A$1001,customers!$I$1:$I$1001,,0)</f>
        <v>No</v>
      </c>
    </row>
    <row r="580" spans="1:16" x14ac:dyDescent="0.35">
      <c r="A580" s="2" t="s">
        <v>3756</v>
      </c>
      <c r="B580" s="4">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_xlfn.XLOOKUP(D580,products!$A$1:$A$49,products!$B$1:$B$49,,0)</f>
        <v>Exc</v>
      </c>
      <c r="J580" t="str">
        <f>_xlfn.XLOOKUP(D580,products!$A$1:$A$49,products!$C$1:$C$49,,0)</f>
        <v>L</v>
      </c>
      <c r="K580" s="7">
        <f>_xlfn.XLOOKUP(D580,products!$A$1:$A$49,products!$D$1:$D$49,,0)</f>
        <v>0.2</v>
      </c>
      <c r="L580" s="9">
        <f>_xlfn.XLOOKUP(D580,products!$A$1:$A$49,products!$E$1:$E$49,,0)</f>
        <v>4.4550000000000001</v>
      </c>
      <c r="M580" s="9">
        <f t="shared" si="9"/>
        <v>13.365</v>
      </c>
      <c r="N580" s="3" t="str" cm="1">
        <f t="array" ref="N580">_xlfn.SWITCH(I580,
"Rob","Robusta",
"Exc","Excelsa",
"Ara","Arabica",
"Lib","Liberica",
"")</f>
        <v>Excelsa</v>
      </c>
      <c r="O580" t="str" cm="1">
        <f t="array" ref="O580">_xlfn.SWITCH(J580,
"M","Medium",
"L","Light",
"D","Dark",
"")</f>
        <v>Light</v>
      </c>
      <c r="P580" t="str">
        <f>_xlfn.XLOOKUP(Orders[[#This Row],[Customer ID]],customers!$A$1:$A$1001,customers!$I$1:$I$1001,,0)</f>
        <v>No</v>
      </c>
    </row>
    <row r="581" spans="1:16" x14ac:dyDescent="0.35">
      <c r="A581" s="2" t="s">
        <v>3756</v>
      </c>
      <c r="B581" s="4">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_xlfn.XLOOKUP(D581,products!$A$1:$A$49,products!$B$1:$B$49,,0)</f>
        <v>Ara</v>
      </c>
      <c r="J581" t="str">
        <f>_xlfn.XLOOKUP(D581,products!$A$1:$A$49,products!$C$1:$C$49,,0)</f>
        <v>M</v>
      </c>
      <c r="K581" s="7">
        <f>_xlfn.XLOOKUP(D581,products!$A$1:$A$49,products!$D$1:$D$49,,0)</f>
        <v>0.5</v>
      </c>
      <c r="L581" s="9">
        <f>_xlfn.XLOOKUP(D581,products!$A$1:$A$49,products!$E$1:$E$49,,0)</f>
        <v>6.75</v>
      </c>
      <c r="M581" s="9">
        <f t="shared" si="9"/>
        <v>33.75</v>
      </c>
      <c r="N581" s="3" t="str" cm="1">
        <f t="array" ref="N581">_xlfn.SWITCH(I581,
"Rob","Robusta",
"Exc","Excelsa",
"Ara","Arabica",
"Lib","Liberica",
"")</f>
        <v>Arabica</v>
      </c>
      <c r="O581" t="str" cm="1">
        <f t="array" ref="O581">_xlfn.SWITCH(J581,
"M","Medium",
"L","Light",
"D","Dark",
"")</f>
        <v>Medium</v>
      </c>
      <c r="P581" t="str">
        <f>_xlfn.XLOOKUP(Orders[[#This Row],[Customer ID]],customers!$A$1:$A$1001,customers!$I$1:$I$1001,,0)</f>
        <v>No</v>
      </c>
    </row>
    <row r="582" spans="1:16" x14ac:dyDescent="0.35">
      <c r="A582" s="2" t="s">
        <v>3767</v>
      </c>
      <c r="B582" s="4">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_xlfn.XLOOKUP(D582,products!$A$1:$A$49,products!$B$1:$B$49,,0)</f>
        <v>Exc</v>
      </c>
      <c r="J582" t="str">
        <f>_xlfn.XLOOKUP(D582,products!$A$1:$A$49,products!$C$1:$C$49,,0)</f>
        <v>L</v>
      </c>
      <c r="K582" s="7">
        <f>_xlfn.XLOOKUP(D582,products!$A$1:$A$49,products!$D$1:$D$49,,0)</f>
        <v>1</v>
      </c>
      <c r="L582" s="9">
        <f>_xlfn.XLOOKUP(D582,products!$A$1:$A$49,products!$E$1:$E$49,,0)</f>
        <v>14.85</v>
      </c>
      <c r="M582" s="9">
        <f t="shared" si="9"/>
        <v>44.55</v>
      </c>
      <c r="N582" s="3" t="str" cm="1">
        <f t="array" ref="N582">_xlfn.SWITCH(I582,
"Rob","Robusta",
"Exc","Excelsa",
"Ara","Arabica",
"Lib","Liberica",
"")</f>
        <v>Excelsa</v>
      </c>
      <c r="O582" t="str" cm="1">
        <f t="array" ref="O582">_xlfn.SWITCH(J582,
"M","Medium",
"L","Light",
"D","Dark",
"")</f>
        <v>Light</v>
      </c>
      <c r="P582" t="str">
        <f>_xlfn.XLOOKUP(Orders[[#This Row],[Customer ID]],customers!$A$1:$A$1001,customers!$I$1:$I$1001,,0)</f>
        <v>Yes</v>
      </c>
    </row>
    <row r="583" spans="1:16" x14ac:dyDescent="0.35">
      <c r="A583" s="2" t="s">
        <v>3773</v>
      </c>
      <c r="B583" s="4">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_xlfn.XLOOKUP(D583,products!$A$1:$A$49,products!$B$1:$B$49,,0)</f>
        <v>Exc</v>
      </c>
      <c r="J583" t="str">
        <f>_xlfn.XLOOKUP(D583,products!$A$1:$A$49,products!$C$1:$C$49,,0)</f>
        <v>L</v>
      </c>
      <c r="K583" s="7">
        <f>_xlfn.XLOOKUP(D583,products!$A$1:$A$49,products!$D$1:$D$49,,0)</f>
        <v>0.5</v>
      </c>
      <c r="L583" s="9">
        <f>_xlfn.XLOOKUP(D583,products!$A$1:$A$49,products!$E$1:$E$49,,0)</f>
        <v>8.91</v>
      </c>
      <c r="M583" s="9">
        <f t="shared" si="9"/>
        <v>44.55</v>
      </c>
      <c r="N583" s="3" t="str" cm="1">
        <f t="array" ref="N583">_xlfn.SWITCH(I583,
"Rob","Robusta",
"Exc","Excelsa",
"Ara","Arabica",
"Lib","Liberica",
"")</f>
        <v>Excelsa</v>
      </c>
      <c r="O583" t="str" cm="1">
        <f t="array" ref="O583">_xlfn.SWITCH(J583,
"M","Medium",
"L","Light",
"D","Dark",
"")</f>
        <v>Light</v>
      </c>
      <c r="P583" t="str">
        <f>_xlfn.XLOOKUP(Orders[[#This Row],[Customer ID]],customers!$A$1:$A$1001,customers!$I$1:$I$1001,,0)</f>
        <v>Yes</v>
      </c>
    </row>
    <row r="584" spans="1:16" x14ac:dyDescent="0.35">
      <c r="A584" s="2" t="s">
        <v>3778</v>
      </c>
      <c r="B584" s="4">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_xlfn.XLOOKUP(D584,products!$A$1:$A$49,products!$B$1:$B$49,,0)</f>
        <v>Exc</v>
      </c>
      <c r="J584" t="str">
        <f>_xlfn.XLOOKUP(D584,products!$A$1:$A$49,products!$C$1:$C$49,,0)</f>
        <v>D</v>
      </c>
      <c r="K584" s="7">
        <f>_xlfn.XLOOKUP(D584,products!$A$1:$A$49,products!$D$1:$D$49,,0)</f>
        <v>1</v>
      </c>
      <c r="L584" s="9">
        <f>_xlfn.XLOOKUP(D584,products!$A$1:$A$49,products!$E$1:$E$49,,0)</f>
        <v>12.15</v>
      </c>
      <c r="M584" s="9">
        <f t="shared" si="9"/>
        <v>60.75</v>
      </c>
      <c r="N584" s="3" t="str" cm="1">
        <f t="array" ref="N584">_xlfn.SWITCH(I584,
"Rob","Robusta",
"Exc","Excelsa",
"Ara","Arabica",
"Lib","Liberica",
"")</f>
        <v>Excelsa</v>
      </c>
      <c r="O584" t="str" cm="1">
        <f t="array" ref="O584">_xlfn.SWITCH(J584,
"M","Medium",
"L","Light",
"D","Dark",
"")</f>
        <v>Dark</v>
      </c>
      <c r="P584" t="str">
        <f>_xlfn.XLOOKUP(Orders[[#This Row],[Customer ID]],customers!$A$1:$A$1001,customers!$I$1:$I$1001,,0)</f>
        <v>No</v>
      </c>
    </row>
    <row r="585" spans="1:16" x14ac:dyDescent="0.35">
      <c r="A585" s="2" t="s">
        <v>3784</v>
      </c>
      <c r="B585" s="4">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_xlfn.XLOOKUP(D585,products!$A$1:$A$49,products!$B$1:$B$49,,0)</f>
        <v>Rob</v>
      </c>
      <c r="J585" t="str">
        <f>_xlfn.XLOOKUP(D585,products!$A$1:$A$49,products!$C$1:$C$49,,0)</f>
        <v>L</v>
      </c>
      <c r="K585" s="7">
        <f>_xlfn.XLOOKUP(D585,products!$A$1:$A$49,products!$D$1:$D$49,,0)</f>
        <v>0.2</v>
      </c>
      <c r="L585" s="9">
        <f>_xlfn.XLOOKUP(D585,products!$A$1:$A$49,products!$E$1:$E$49,,0)</f>
        <v>3.5849999999999995</v>
      </c>
      <c r="M585" s="9">
        <f t="shared" si="9"/>
        <v>3.5849999999999995</v>
      </c>
      <c r="N585" s="3" t="str" cm="1">
        <f t="array" ref="N585">_xlfn.SWITCH(I585,
"Rob","Robusta",
"Exc","Excelsa",
"Ara","Arabica",
"Lib","Liberica",
"")</f>
        <v>Robusta</v>
      </c>
      <c r="O585" t="str" cm="1">
        <f t="array" ref="O585">_xlfn.SWITCH(J585,
"M","Medium",
"L","Light",
"D","Dark",
"")</f>
        <v>Light</v>
      </c>
      <c r="P585" t="str">
        <f>_xlfn.XLOOKUP(Orders[[#This Row],[Customer ID]],customers!$A$1:$A$1001,customers!$I$1:$I$1001,,0)</f>
        <v>Yes</v>
      </c>
    </row>
    <row r="586" spans="1:16" x14ac:dyDescent="0.35">
      <c r="A586" s="2" t="s">
        <v>3790</v>
      </c>
      <c r="B586" s="4">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_xlfn.XLOOKUP(D586,products!$A$1:$A$49,products!$B$1:$B$49,,0)</f>
        <v>Rob</v>
      </c>
      <c r="J586" t="str">
        <f>_xlfn.XLOOKUP(D586,products!$A$1:$A$49,products!$C$1:$C$49,,0)</f>
        <v>L</v>
      </c>
      <c r="K586" s="7">
        <f>_xlfn.XLOOKUP(D586,products!$A$1:$A$49,products!$D$1:$D$49,,0)</f>
        <v>0.2</v>
      </c>
      <c r="L586" s="9">
        <f>_xlfn.XLOOKUP(D586,products!$A$1:$A$49,products!$E$1:$E$49,,0)</f>
        <v>3.5849999999999995</v>
      </c>
      <c r="M586" s="9">
        <f t="shared" si="9"/>
        <v>21.509999999999998</v>
      </c>
      <c r="N586" s="3" t="str" cm="1">
        <f t="array" ref="N586">_xlfn.SWITCH(I586,
"Rob","Robusta",
"Exc","Excelsa",
"Ara","Arabica",
"Lib","Liberica",
"")</f>
        <v>Robusta</v>
      </c>
      <c r="O586" t="str" cm="1">
        <f t="array" ref="O586">_xlfn.SWITCH(J586,
"M","Medium",
"L","Light",
"D","Dark",
"")</f>
        <v>Light</v>
      </c>
      <c r="P586" t="str">
        <f>_xlfn.XLOOKUP(Orders[[#This Row],[Customer ID]],customers!$A$1:$A$1001,customers!$I$1:$I$1001,,0)</f>
        <v>No</v>
      </c>
    </row>
    <row r="587" spans="1:16" x14ac:dyDescent="0.35">
      <c r="A587" s="2" t="s">
        <v>3796</v>
      </c>
      <c r="B587" s="4">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_xlfn.XLOOKUP(D587,products!$A$1:$A$49,products!$B$1:$B$49,,0)</f>
        <v>Exc</v>
      </c>
      <c r="J587" t="str">
        <f>_xlfn.XLOOKUP(D587,products!$A$1:$A$49,products!$C$1:$C$49,,0)</f>
        <v>M</v>
      </c>
      <c r="K587" s="7">
        <f>_xlfn.XLOOKUP(D587,products!$A$1:$A$49,products!$D$1:$D$49,,0)</f>
        <v>0.5</v>
      </c>
      <c r="L587" s="9">
        <f>_xlfn.XLOOKUP(D587,products!$A$1:$A$49,products!$E$1:$E$49,,0)</f>
        <v>8.25</v>
      </c>
      <c r="M587" s="9">
        <f t="shared" si="9"/>
        <v>16.5</v>
      </c>
      <c r="N587" s="3" t="str" cm="1">
        <f t="array" ref="N587">_xlfn.SWITCH(I587,
"Rob","Robusta",
"Exc","Excelsa",
"Ara","Arabica",
"Lib","Liberica",
"")</f>
        <v>Excelsa</v>
      </c>
      <c r="O587" t="str" cm="1">
        <f t="array" ref="O587">_xlfn.SWITCH(J587,
"M","Medium",
"L","Light",
"D","Dark",
"")</f>
        <v>Medium</v>
      </c>
      <c r="P587" t="str">
        <f>_xlfn.XLOOKUP(Orders[[#This Row],[Customer ID]],customers!$A$1:$A$1001,customers!$I$1:$I$1001,,0)</f>
        <v>Yes</v>
      </c>
    </row>
    <row r="588" spans="1:16" x14ac:dyDescent="0.35">
      <c r="A588" s="2" t="s">
        <v>3802</v>
      </c>
      <c r="B588" s="4">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_xlfn.XLOOKUP(D588,products!$A$1:$A$49,products!$B$1:$B$49,,0)</f>
        <v>Rob</v>
      </c>
      <c r="J588" t="str">
        <f>_xlfn.XLOOKUP(D588,products!$A$1:$A$49,products!$C$1:$C$49,,0)</f>
        <v>L</v>
      </c>
      <c r="K588" s="7">
        <f>_xlfn.XLOOKUP(D588,products!$A$1:$A$49,products!$D$1:$D$49,,0)</f>
        <v>2.5</v>
      </c>
      <c r="L588" s="9">
        <f>_xlfn.XLOOKUP(D588,products!$A$1:$A$49,products!$E$1:$E$49,,0)</f>
        <v>27.484999999999996</v>
      </c>
      <c r="M588" s="9">
        <f t="shared" si="9"/>
        <v>82.454999999999984</v>
      </c>
      <c r="N588" s="3" t="str" cm="1">
        <f t="array" ref="N588">_xlfn.SWITCH(I588,
"Rob","Robusta",
"Exc","Excelsa",
"Ara","Arabica",
"Lib","Liberica",
"")</f>
        <v>Robusta</v>
      </c>
      <c r="O588" t="str" cm="1">
        <f t="array" ref="O588">_xlfn.SWITCH(J588,
"M","Medium",
"L","Light",
"D","Dark",
"")</f>
        <v>Light</v>
      </c>
      <c r="P588" t="str">
        <f>_xlfn.XLOOKUP(Orders[[#This Row],[Customer ID]],customers!$A$1:$A$1001,customers!$I$1:$I$1001,,0)</f>
        <v>No</v>
      </c>
    </row>
    <row r="589" spans="1:16" x14ac:dyDescent="0.35">
      <c r="A589" s="2" t="s">
        <v>3807</v>
      </c>
      <c r="B589" s="4">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_xlfn.XLOOKUP(D589,products!$A$1:$A$49,products!$B$1:$B$49,,0)</f>
        <v>Lib</v>
      </c>
      <c r="J589" t="str">
        <f>_xlfn.XLOOKUP(D589,products!$A$1:$A$49,products!$C$1:$C$49,,0)</f>
        <v>D</v>
      </c>
      <c r="K589" s="7">
        <f>_xlfn.XLOOKUP(D589,products!$A$1:$A$49,products!$D$1:$D$49,,0)</f>
        <v>0.5</v>
      </c>
      <c r="L589" s="9">
        <f>_xlfn.XLOOKUP(D589,products!$A$1:$A$49,products!$E$1:$E$49,,0)</f>
        <v>7.77</v>
      </c>
      <c r="M589" s="9">
        <f t="shared" si="9"/>
        <v>7.77</v>
      </c>
      <c r="N589" s="3" t="str" cm="1">
        <f t="array" ref="N589">_xlfn.SWITCH(I589,
"Rob","Robusta",
"Exc","Excelsa",
"Ara","Arabica",
"Lib","Liberica",
"")</f>
        <v>Liberica</v>
      </c>
      <c r="O589" t="str" cm="1">
        <f t="array" ref="O589">_xlfn.SWITCH(J589,
"M","Medium",
"L","Light",
"D","Dark",
"")</f>
        <v>Dark</v>
      </c>
      <c r="P589" t="str">
        <f>_xlfn.XLOOKUP(Orders[[#This Row],[Customer ID]],customers!$A$1:$A$1001,customers!$I$1:$I$1001,,0)</f>
        <v>Yes</v>
      </c>
    </row>
    <row r="590" spans="1:16" x14ac:dyDescent="0.35">
      <c r="A590" s="2" t="s">
        <v>3812</v>
      </c>
      <c r="B590" s="4">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_xlfn.XLOOKUP(D590,products!$A$1:$A$49,products!$B$1:$B$49,,0)</f>
        <v>Rob</v>
      </c>
      <c r="J590" t="str">
        <f>_xlfn.XLOOKUP(D590,products!$A$1:$A$49,products!$C$1:$C$49,,0)</f>
        <v>M</v>
      </c>
      <c r="K590" s="7">
        <f>_xlfn.XLOOKUP(D590,products!$A$1:$A$49,products!$D$1:$D$49,,0)</f>
        <v>0.5</v>
      </c>
      <c r="L590" s="9">
        <f>_xlfn.XLOOKUP(D590,products!$A$1:$A$49,products!$E$1:$E$49,,0)</f>
        <v>5.97</v>
      </c>
      <c r="M590" s="9">
        <f t="shared" si="9"/>
        <v>11.94</v>
      </c>
      <c r="N590" s="3" t="str" cm="1">
        <f t="array" ref="N590">_xlfn.SWITCH(I590,
"Rob","Robusta",
"Exc","Excelsa",
"Ara","Arabica",
"Lib","Liberica",
"")</f>
        <v>Robusta</v>
      </c>
      <c r="O590" t="str" cm="1">
        <f t="array" ref="O590">_xlfn.SWITCH(J590,
"M","Medium",
"L","Light",
"D","Dark",
"")</f>
        <v>Medium</v>
      </c>
      <c r="P590" t="str">
        <f>_xlfn.XLOOKUP(Orders[[#This Row],[Customer ID]],customers!$A$1:$A$1001,customers!$I$1:$I$1001,,0)</f>
        <v>Yes</v>
      </c>
    </row>
    <row r="591" spans="1:16" x14ac:dyDescent="0.35">
      <c r="A591" s="2" t="s">
        <v>3818</v>
      </c>
      <c r="B591" s="4">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_xlfn.XLOOKUP(D591,products!$A$1:$A$49,products!$B$1:$B$49,,0)</f>
        <v>Exc</v>
      </c>
      <c r="J591" t="str">
        <f>_xlfn.XLOOKUP(D591,products!$A$1:$A$49,products!$C$1:$C$49,,0)</f>
        <v>L</v>
      </c>
      <c r="K591" s="7">
        <f>_xlfn.XLOOKUP(D591,products!$A$1:$A$49,products!$D$1:$D$49,,0)</f>
        <v>2.5</v>
      </c>
      <c r="L591" s="9">
        <f>_xlfn.XLOOKUP(D591,products!$A$1:$A$49,products!$E$1:$E$49,,0)</f>
        <v>34.154999999999994</v>
      </c>
      <c r="M591" s="9">
        <f t="shared" si="9"/>
        <v>204.92999999999995</v>
      </c>
      <c r="N591" s="3" t="str" cm="1">
        <f t="array" ref="N591">_xlfn.SWITCH(I591,
"Rob","Robusta",
"Exc","Excelsa",
"Ara","Arabica",
"Lib","Liberica",
"")</f>
        <v>Excelsa</v>
      </c>
      <c r="O591" t="str" cm="1">
        <f t="array" ref="O591">_xlfn.SWITCH(J591,
"M","Medium",
"L","Light",
"D","Dark",
"")</f>
        <v>Light</v>
      </c>
      <c r="P591" t="str">
        <f>_xlfn.XLOOKUP(Orders[[#This Row],[Customer ID]],customers!$A$1:$A$1001,customers!$I$1:$I$1001,,0)</f>
        <v>No</v>
      </c>
    </row>
    <row r="592" spans="1:16" x14ac:dyDescent="0.35">
      <c r="A592" s="2" t="s">
        <v>3823</v>
      </c>
      <c r="B592" s="4">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_xlfn.XLOOKUP(D592,products!$A$1:$A$49,products!$B$1:$B$49,,0)</f>
        <v>Exc</v>
      </c>
      <c r="J592" t="str">
        <f>_xlfn.XLOOKUP(D592,products!$A$1:$A$49,products!$C$1:$C$49,,0)</f>
        <v>M</v>
      </c>
      <c r="K592" s="7">
        <f>_xlfn.XLOOKUP(D592,products!$A$1:$A$49,products!$D$1:$D$49,,0)</f>
        <v>2.5</v>
      </c>
      <c r="L592" s="9">
        <f>_xlfn.XLOOKUP(D592,products!$A$1:$A$49,products!$E$1:$E$49,,0)</f>
        <v>31.624999999999996</v>
      </c>
      <c r="M592" s="9">
        <f t="shared" si="9"/>
        <v>63.249999999999993</v>
      </c>
      <c r="N592" s="3" t="str" cm="1">
        <f t="array" ref="N592">_xlfn.SWITCH(I592,
"Rob","Robusta",
"Exc","Excelsa",
"Ara","Arabica",
"Lib","Liberica",
"")</f>
        <v>Excelsa</v>
      </c>
      <c r="O592" t="str" cm="1">
        <f t="array" ref="O592">_xlfn.SWITCH(J592,
"M","Medium",
"L","Light",
"D","Dark",
"")</f>
        <v>Medium</v>
      </c>
      <c r="P592" t="str">
        <f>_xlfn.XLOOKUP(Orders[[#This Row],[Customer ID]],customers!$A$1:$A$1001,customers!$I$1:$I$1001,,0)</f>
        <v>Yes</v>
      </c>
    </row>
    <row r="593" spans="1:16" x14ac:dyDescent="0.35">
      <c r="A593" s="2" t="s">
        <v>3829</v>
      </c>
      <c r="B593" s="4">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_xlfn.XLOOKUP(D593,products!$A$1:$A$49,products!$B$1:$B$49,,0)</f>
        <v>Rob</v>
      </c>
      <c r="J593" t="str">
        <f>_xlfn.XLOOKUP(D593,products!$A$1:$A$49,products!$C$1:$C$49,,0)</f>
        <v>D</v>
      </c>
      <c r="K593" s="7">
        <f>_xlfn.XLOOKUP(D593,products!$A$1:$A$49,products!$D$1:$D$49,,0)</f>
        <v>0.2</v>
      </c>
      <c r="L593" s="9">
        <f>_xlfn.XLOOKUP(D593,products!$A$1:$A$49,products!$E$1:$E$49,,0)</f>
        <v>2.6849999999999996</v>
      </c>
      <c r="M593" s="9">
        <f t="shared" si="9"/>
        <v>8.0549999999999997</v>
      </c>
      <c r="N593" s="3" t="str" cm="1">
        <f t="array" ref="N593">_xlfn.SWITCH(I593,
"Rob","Robusta",
"Exc","Excelsa",
"Ara","Arabica",
"Lib","Liberica",
"")</f>
        <v>Robusta</v>
      </c>
      <c r="O593" t="str" cm="1">
        <f t="array" ref="O593">_xlfn.SWITCH(J593,
"M","Medium",
"L","Light",
"D","Dark",
"")</f>
        <v>Dark</v>
      </c>
      <c r="P593" t="str">
        <f>_xlfn.XLOOKUP(Orders[[#This Row],[Customer ID]],customers!$A$1:$A$1001,customers!$I$1:$I$1001,,0)</f>
        <v>Yes</v>
      </c>
    </row>
    <row r="594" spans="1:16" x14ac:dyDescent="0.35">
      <c r="A594" s="2" t="s">
        <v>3834</v>
      </c>
      <c r="B594" s="4">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_xlfn.XLOOKUP(D594,products!$A$1:$A$49,products!$B$1:$B$49,,0)</f>
        <v>Ara</v>
      </c>
      <c r="J594" t="str">
        <f>_xlfn.XLOOKUP(D594,products!$A$1:$A$49,products!$C$1:$C$49,,0)</f>
        <v>M</v>
      </c>
      <c r="K594" s="7">
        <f>_xlfn.XLOOKUP(D594,products!$A$1:$A$49,products!$D$1:$D$49,,0)</f>
        <v>2.5</v>
      </c>
      <c r="L594" s="9">
        <f>_xlfn.XLOOKUP(D594,products!$A$1:$A$49,products!$E$1:$E$49,,0)</f>
        <v>25.874999999999996</v>
      </c>
      <c r="M594" s="9">
        <f t="shared" si="9"/>
        <v>51.749999999999993</v>
      </c>
      <c r="N594" s="3" t="str" cm="1">
        <f t="array" ref="N594">_xlfn.SWITCH(I594,
"Rob","Robusta",
"Exc","Excelsa",
"Ara","Arabica",
"Lib","Liberica",
"")</f>
        <v>Arabica</v>
      </c>
      <c r="O594" t="str" cm="1">
        <f t="array" ref="O594">_xlfn.SWITCH(J594,
"M","Medium",
"L","Light",
"D","Dark",
"")</f>
        <v>Medium</v>
      </c>
      <c r="P594" t="str">
        <f>_xlfn.XLOOKUP(Orders[[#This Row],[Customer ID]],customers!$A$1:$A$1001,customers!$I$1:$I$1001,,0)</f>
        <v>No</v>
      </c>
    </row>
    <row r="595" spans="1:16" x14ac:dyDescent="0.35">
      <c r="A595" s="2" t="s">
        <v>3839</v>
      </c>
      <c r="B595" s="4">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_xlfn.XLOOKUP(D595,products!$A$1:$A$49,products!$B$1:$B$49,,0)</f>
        <v>Exc</v>
      </c>
      <c r="J595" t="str">
        <f>_xlfn.XLOOKUP(D595,products!$A$1:$A$49,products!$C$1:$C$49,,0)</f>
        <v>D</v>
      </c>
      <c r="K595" s="7">
        <f>_xlfn.XLOOKUP(D595,products!$A$1:$A$49,products!$D$1:$D$49,,0)</f>
        <v>2.5</v>
      </c>
      <c r="L595" s="9">
        <f>_xlfn.XLOOKUP(D595,products!$A$1:$A$49,products!$E$1:$E$49,,0)</f>
        <v>27.945</v>
      </c>
      <c r="M595" s="9">
        <f t="shared" si="9"/>
        <v>27.945</v>
      </c>
      <c r="N595" s="3" t="str" cm="1">
        <f t="array" ref="N595">_xlfn.SWITCH(I595,
"Rob","Robusta",
"Exc","Excelsa",
"Ara","Arabica",
"Lib","Liberica",
"")</f>
        <v>Excelsa</v>
      </c>
      <c r="O595" t="str" cm="1">
        <f t="array" ref="O595">_xlfn.SWITCH(J595,
"M","Medium",
"L","Light",
"D","Dark",
"")</f>
        <v>Dark</v>
      </c>
      <c r="P595" t="str">
        <f>_xlfn.XLOOKUP(Orders[[#This Row],[Customer ID]],customers!$A$1:$A$1001,customers!$I$1:$I$1001,,0)</f>
        <v>Yes</v>
      </c>
    </row>
    <row r="596" spans="1:16" x14ac:dyDescent="0.35">
      <c r="A596" s="2" t="s">
        <v>3844</v>
      </c>
      <c r="B596" s="4">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_xlfn.XLOOKUP(D596,products!$A$1:$A$49,products!$B$1:$B$49,,0)</f>
        <v>Ara</v>
      </c>
      <c r="J596" t="str">
        <f>_xlfn.XLOOKUP(D596,products!$A$1:$A$49,products!$C$1:$C$49,,0)</f>
        <v>L</v>
      </c>
      <c r="K596" s="7">
        <f>_xlfn.XLOOKUP(D596,products!$A$1:$A$49,products!$D$1:$D$49,,0)</f>
        <v>2.5</v>
      </c>
      <c r="L596" s="9">
        <f>_xlfn.XLOOKUP(D596,products!$A$1:$A$49,products!$E$1:$E$49,,0)</f>
        <v>29.784999999999997</v>
      </c>
      <c r="M596" s="9">
        <f t="shared" si="9"/>
        <v>59.569999999999993</v>
      </c>
      <c r="N596" s="3" t="str" cm="1">
        <f t="array" ref="N596">_xlfn.SWITCH(I596,
"Rob","Robusta",
"Exc","Excelsa",
"Ara","Arabica",
"Lib","Liberica",
"")</f>
        <v>Arabica</v>
      </c>
      <c r="O596" t="str" cm="1">
        <f t="array" ref="O596">_xlfn.SWITCH(J596,
"M","Medium",
"L","Light",
"D","Dark",
"")</f>
        <v>Light</v>
      </c>
      <c r="P596" t="str">
        <f>_xlfn.XLOOKUP(Orders[[#This Row],[Customer ID]],customers!$A$1:$A$1001,customers!$I$1:$I$1001,,0)</f>
        <v>No</v>
      </c>
    </row>
    <row r="597" spans="1:16" x14ac:dyDescent="0.35">
      <c r="A597" s="2" t="s">
        <v>3850</v>
      </c>
      <c r="B597" s="4">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_xlfn.XLOOKUP(D597,products!$A$1:$A$49,products!$B$1:$B$49,,0)</f>
        <v>Exc</v>
      </c>
      <c r="J597" t="str">
        <f>_xlfn.XLOOKUP(D597,products!$A$1:$A$49,products!$C$1:$C$49,,0)</f>
        <v>L</v>
      </c>
      <c r="K597" s="7">
        <f>_xlfn.XLOOKUP(D597,products!$A$1:$A$49,products!$D$1:$D$49,,0)</f>
        <v>1</v>
      </c>
      <c r="L597" s="9">
        <f>_xlfn.XLOOKUP(D597,products!$A$1:$A$49,products!$E$1:$E$49,,0)</f>
        <v>14.85</v>
      </c>
      <c r="M597" s="9">
        <f t="shared" si="9"/>
        <v>14.85</v>
      </c>
      <c r="N597" s="3" t="str" cm="1">
        <f t="array" ref="N597">_xlfn.SWITCH(I597,
"Rob","Robusta",
"Exc","Excelsa",
"Ara","Arabica",
"Lib","Liberica",
"")</f>
        <v>Excelsa</v>
      </c>
      <c r="O597" t="str" cm="1">
        <f t="array" ref="O597">_xlfn.SWITCH(J597,
"M","Medium",
"L","Light",
"D","Dark",
"")</f>
        <v>Light</v>
      </c>
      <c r="P597" t="str">
        <f>_xlfn.XLOOKUP(Orders[[#This Row],[Customer ID]],customers!$A$1:$A$1001,customers!$I$1:$I$1001,,0)</f>
        <v>No</v>
      </c>
    </row>
    <row r="598" spans="1:16" x14ac:dyDescent="0.35">
      <c r="A598" s="2" t="s">
        <v>3854</v>
      </c>
      <c r="B598" s="4">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_xlfn.XLOOKUP(D598,products!$A$1:$A$49,products!$B$1:$B$49,,0)</f>
        <v>Ara</v>
      </c>
      <c r="J598" t="str">
        <f>_xlfn.XLOOKUP(D598,products!$A$1:$A$49,products!$C$1:$C$49,,0)</f>
        <v>M</v>
      </c>
      <c r="K598" s="7">
        <f>_xlfn.XLOOKUP(D598,products!$A$1:$A$49,products!$D$1:$D$49,,0)</f>
        <v>0.5</v>
      </c>
      <c r="L598" s="9">
        <f>_xlfn.XLOOKUP(D598,products!$A$1:$A$49,products!$E$1:$E$49,,0)</f>
        <v>6.75</v>
      </c>
      <c r="M598" s="9">
        <f t="shared" si="9"/>
        <v>33.75</v>
      </c>
      <c r="N598" s="3" t="str" cm="1">
        <f t="array" ref="N598">_xlfn.SWITCH(I598,
"Rob","Robusta",
"Exc","Excelsa",
"Ara","Arabica",
"Lib","Liberica",
"")</f>
        <v>Arabica</v>
      </c>
      <c r="O598" t="str" cm="1">
        <f t="array" ref="O598">_xlfn.SWITCH(J598,
"M","Medium",
"L","Light",
"D","Dark",
"")</f>
        <v>Medium</v>
      </c>
      <c r="P598" t="str">
        <f>_xlfn.XLOOKUP(Orders[[#This Row],[Customer ID]],customers!$A$1:$A$1001,customers!$I$1:$I$1001,,0)</f>
        <v>No</v>
      </c>
    </row>
    <row r="599" spans="1:16" x14ac:dyDescent="0.35">
      <c r="A599" s="2" t="s">
        <v>3860</v>
      </c>
      <c r="B599" s="4">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_xlfn.XLOOKUP(D599,products!$A$1:$A$49,products!$B$1:$B$49,,0)</f>
        <v>Lib</v>
      </c>
      <c r="J599" t="str">
        <f>_xlfn.XLOOKUP(D599,products!$A$1:$A$49,products!$C$1:$C$49,,0)</f>
        <v>L</v>
      </c>
      <c r="K599" s="7">
        <f>_xlfn.XLOOKUP(D599,products!$A$1:$A$49,products!$D$1:$D$49,,0)</f>
        <v>2.5</v>
      </c>
      <c r="L599" s="9">
        <f>_xlfn.XLOOKUP(D599,products!$A$1:$A$49,products!$E$1:$E$49,,0)</f>
        <v>36.454999999999998</v>
      </c>
      <c r="M599" s="9">
        <f t="shared" si="9"/>
        <v>145.82</v>
      </c>
      <c r="N599" s="3" t="str" cm="1">
        <f t="array" ref="N599">_xlfn.SWITCH(I599,
"Rob","Robusta",
"Exc","Excelsa",
"Ara","Arabica",
"Lib","Liberica",
"")</f>
        <v>Liberica</v>
      </c>
      <c r="O599" t="str" cm="1">
        <f t="array" ref="O599">_xlfn.SWITCH(J599,
"M","Medium",
"L","Light",
"D","Dark",
"")</f>
        <v>Light</v>
      </c>
      <c r="P599" t="str">
        <f>_xlfn.XLOOKUP(Orders[[#This Row],[Customer ID]],customers!$A$1:$A$1001,customers!$I$1:$I$1001,,0)</f>
        <v>Yes</v>
      </c>
    </row>
    <row r="600" spans="1:16" x14ac:dyDescent="0.35">
      <c r="A600" s="2" t="s">
        <v>3866</v>
      </c>
      <c r="B600" s="4">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_xlfn.XLOOKUP(D600,products!$A$1:$A$49,products!$B$1:$B$49,,0)</f>
        <v>Rob</v>
      </c>
      <c r="J600" t="str">
        <f>_xlfn.XLOOKUP(D600,products!$A$1:$A$49,products!$C$1:$C$49,,0)</f>
        <v>M</v>
      </c>
      <c r="K600" s="7">
        <f>_xlfn.XLOOKUP(D600,products!$A$1:$A$49,products!$D$1:$D$49,,0)</f>
        <v>0.2</v>
      </c>
      <c r="L600" s="9">
        <f>_xlfn.XLOOKUP(D600,products!$A$1:$A$49,products!$E$1:$E$49,,0)</f>
        <v>2.9849999999999999</v>
      </c>
      <c r="M600" s="9">
        <f t="shared" si="9"/>
        <v>11.94</v>
      </c>
      <c r="N600" s="3" t="str" cm="1">
        <f t="array" ref="N600">_xlfn.SWITCH(I600,
"Rob","Robusta",
"Exc","Excelsa",
"Ara","Arabica",
"Lib","Liberica",
"")</f>
        <v>Robusta</v>
      </c>
      <c r="O600" t="str" cm="1">
        <f t="array" ref="O600">_xlfn.SWITCH(J600,
"M","Medium",
"L","Light",
"D","Dark",
"")</f>
        <v>Medium</v>
      </c>
      <c r="P600" t="str">
        <f>_xlfn.XLOOKUP(Orders[[#This Row],[Customer ID]],customers!$A$1:$A$1001,customers!$I$1:$I$1001,,0)</f>
        <v>Yes</v>
      </c>
    </row>
    <row r="601" spans="1:16" x14ac:dyDescent="0.35">
      <c r="A601" s="2" t="s">
        <v>3872</v>
      </c>
      <c r="B601" s="4">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_xlfn.XLOOKUP(D601,products!$A$1:$A$49,products!$B$1:$B$49,,0)</f>
        <v>Ara</v>
      </c>
      <c r="J601" t="str">
        <f>_xlfn.XLOOKUP(D601,products!$A$1:$A$49,products!$C$1:$C$49,,0)</f>
        <v>D</v>
      </c>
      <c r="K601" s="7">
        <f>_xlfn.XLOOKUP(D601,products!$A$1:$A$49,products!$D$1:$D$49,,0)</f>
        <v>0.2</v>
      </c>
      <c r="L601" s="9">
        <f>_xlfn.XLOOKUP(D601,products!$A$1:$A$49,products!$E$1:$E$49,,0)</f>
        <v>2.9849999999999999</v>
      </c>
      <c r="M601" s="9">
        <f t="shared" si="9"/>
        <v>11.94</v>
      </c>
      <c r="N601" s="3" t="str" cm="1">
        <f t="array" ref="N601">_xlfn.SWITCH(I601,
"Rob","Robusta",
"Exc","Excelsa",
"Ara","Arabica",
"Lib","Liberica",
"")</f>
        <v>Arabica</v>
      </c>
      <c r="O601" t="str" cm="1">
        <f t="array" ref="O601">_xlfn.SWITCH(J601,
"M","Medium",
"L","Light",
"D","Dark",
"")</f>
        <v>Dark</v>
      </c>
      <c r="P601" t="str">
        <f>_xlfn.XLOOKUP(Orders[[#This Row],[Customer ID]],customers!$A$1:$A$1001,customers!$I$1:$I$1001,,0)</f>
        <v>Yes</v>
      </c>
    </row>
    <row r="602" spans="1:16" x14ac:dyDescent="0.35">
      <c r="A602" s="2" t="s">
        <v>3877</v>
      </c>
      <c r="B602" s="4">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_xlfn.XLOOKUP(D602,products!$A$1:$A$49,products!$B$1:$B$49,,0)</f>
        <v>Lib</v>
      </c>
      <c r="J602" t="str">
        <f>_xlfn.XLOOKUP(D602,products!$A$1:$A$49,products!$C$1:$C$49,,0)</f>
        <v>D</v>
      </c>
      <c r="K602" s="7">
        <f>_xlfn.XLOOKUP(D602,products!$A$1:$A$49,products!$D$1:$D$49,,0)</f>
        <v>0.5</v>
      </c>
      <c r="L602" s="9">
        <f>_xlfn.XLOOKUP(D602,products!$A$1:$A$49,products!$E$1:$E$49,,0)</f>
        <v>7.77</v>
      </c>
      <c r="M602" s="9">
        <f t="shared" si="9"/>
        <v>7.77</v>
      </c>
      <c r="N602" s="3" t="str" cm="1">
        <f t="array" ref="N602">_xlfn.SWITCH(I602,
"Rob","Robusta",
"Exc","Excelsa",
"Ara","Arabica",
"Lib","Liberica",
"")</f>
        <v>Liberica</v>
      </c>
      <c r="O602" t="str" cm="1">
        <f t="array" ref="O602">_xlfn.SWITCH(J602,
"M","Medium",
"L","Light",
"D","Dark",
"")</f>
        <v>Dark</v>
      </c>
      <c r="P602" t="str">
        <f>_xlfn.XLOOKUP(Orders[[#This Row],[Customer ID]],customers!$A$1:$A$1001,customers!$I$1:$I$1001,,0)</f>
        <v>No</v>
      </c>
    </row>
    <row r="603" spans="1:16" x14ac:dyDescent="0.35">
      <c r="A603" s="2" t="s">
        <v>3883</v>
      </c>
      <c r="B603" s="4">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_xlfn.XLOOKUP(D603,products!$A$1:$A$49,products!$B$1:$B$49,,0)</f>
        <v>Rob</v>
      </c>
      <c r="J603" t="str">
        <f>_xlfn.XLOOKUP(D603,products!$A$1:$A$49,products!$C$1:$C$49,,0)</f>
        <v>L</v>
      </c>
      <c r="K603" s="7">
        <f>_xlfn.XLOOKUP(D603,products!$A$1:$A$49,products!$D$1:$D$49,,0)</f>
        <v>2.5</v>
      </c>
      <c r="L603" s="9">
        <f>_xlfn.XLOOKUP(D603,products!$A$1:$A$49,products!$E$1:$E$49,,0)</f>
        <v>27.484999999999996</v>
      </c>
      <c r="M603" s="9">
        <f t="shared" si="9"/>
        <v>109.93999999999998</v>
      </c>
      <c r="N603" s="3" t="str" cm="1">
        <f t="array" ref="N603">_xlfn.SWITCH(I603,
"Rob","Robusta",
"Exc","Excelsa",
"Ara","Arabica",
"Lib","Liberica",
"")</f>
        <v>Robusta</v>
      </c>
      <c r="O603" t="str" cm="1">
        <f t="array" ref="O603">_xlfn.SWITCH(J603,
"M","Medium",
"L","Light",
"D","Dark",
"")</f>
        <v>Light</v>
      </c>
      <c r="P603" t="str">
        <f>_xlfn.XLOOKUP(Orders[[#This Row],[Customer ID]],customers!$A$1:$A$1001,customers!$I$1:$I$1001,,0)</f>
        <v>Yes</v>
      </c>
    </row>
    <row r="604" spans="1:16" x14ac:dyDescent="0.35">
      <c r="A604" s="2" t="s">
        <v>3889</v>
      </c>
      <c r="B604" s="4">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_xlfn.XLOOKUP(D604,products!$A$1:$A$49,products!$B$1:$B$49,,0)</f>
        <v>Exc</v>
      </c>
      <c r="J604" t="str">
        <f>_xlfn.XLOOKUP(D604,products!$A$1:$A$49,products!$C$1:$C$49,,0)</f>
        <v>L</v>
      </c>
      <c r="K604" s="7">
        <f>_xlfn.XLOOKUP(D604,products!$A$1:$A$49,products!$D$1:$D$49,,0)</f>
        <v>0.2</v>
      </c>
      <c r="L604" s="9">
        <f>_xlfn.XLOOKUP(D604,products!$A$1:$A$49,products!$E$1:$E$49,,0)</f>
        <v>4.4550000000000001</v>
      </c>
      <c r="M604" s="9">
        <f t="shared" si="9"/>
        <v>22.274999999999999</v>
      </c>
      <c r="N604" s="3" t="str" cm="1">
        <f t="array" ref="N604">_xlfn.SWITCH(I604,
"Rob","Robusta",
"Exc","Excelsa",
"Ara","Arabica",
"Lib","Liberica",
"")</f>
        <v>Excelsa</v>
      </c>
      <c r="O604" t="str" cm="1">
        <f t="array" ref="O604">_xlfn.SWITCH(J604,
"M","Medium",
"L","Light",
"D","Dark",
"")</f>
        <v>Light</v>
      </c>
      <c r="P604" t="str">
        <f>_xlfn.XLOOKUP(Orders[[#This Row],[Customer ID]],customers!$A$1:$A$1001,customers!$I$1:$I$1001,,0)</f>
        <v>Yes</v>
      </c>
    </row>
    <row r="605" spans="1:16" x14ac:dyDescent="0.35">
      <c r="A605" s="2" t="s">
        <v>3895</v>
      </c>
      <c r="B605" s="4">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_xlfn.XLOOKUP(D605,products!$A$1:$A$49,products!$B$1:$B$49,,0)</f>
        <v>Rob</v>
      </c>
      <c r="J605" t="str">
        <f>_xlfn.XLOOKUP(D605,products!$A$1:$A$49,products!$C$1:$C$49,,0)</f>
        <v>M</v>
      </c>
      <c r="K605" s="7">
        <f>_xlfn.XLOOKUP(D605,products!$A$1:$A$49,products!$D$1:$D$49,,0)</f>
        <v>0.2</v>
      </c>
      <c r="L605" s="9">
        <f>_xlfn.XLOOKUP(D605,products!$A$1:$A$49,products!$E$1:$E$49,,0)</f>
        <v>2.9849999999999999</v>
      </c>
      <c r="M605" s="9">
        <f t="shared" si="9"/>
        <v>8.9550000000000001</v>
      </c>
      <c r="N605" s="3" t="str" cm="1">
        <f t="array" ref="N605">_xlfn.SWITCH(I605,
"Rob","Robusta",
"Exc","Excelsa",
"Ara","Arabica",
"Lib","Liberica",
"")</f>
        <v>Robusta</v>
      </c>
      <c r="O605" t="str" cm="1">
        <f t="array" ref="O605">_xlfn.SWITCH(J605,
"M","Medium",
"L","Light",
"D","Dark",
"")</f>
        <v>Medium</v>
      </c>
      <c r="P605" t="str">
        <f>_xlfn.XLOOKUP(Orders[[#This Row],[Customer ID]],customers!$A$1:$A$1001,customers!$I$1:$I$1001,,0)</f>
        <v>No</v>
      </c>
    </row>
    <row r="606" spans="1:16" x14ac:dyDescent="0.35">
      <c r="A606" s="2" t="s">
        <v>3900</v>
      </c>
      <c r="B606" s="4">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_xlfn.XLOOKUP(D606,products!$A$1:$A$49,products!$B$1:$B$49,,0)</f>
        <v>Lib</v>
      </c>
      <c r="J606" t="str">
        <f>_xlfn.XLOOKUP(D606,products!$A$1:$A$49,products!$C$1:$C$49,,0)</f>
        <v>D</v>
      </c>
      <c r="K606" s="7">
        <f>_xlfn.XLOOKUP(D606,products!$A$1:$A$49,products!$D$1:$D$49,,0)</f>
        <v>2.5</v>
      </c>
      <c r="L606" s="9">
        <f>_xlfn.XLOOKUP(D606,products!$A$1:$A$49,products!$E$1:$E$49,,0)</f>
        <v>29.784999999999997</v>
      </c>
      <c r="M606" s="9">
        <f t="shared" si="9"/>
        <v>119.13999999999999</v>
      </c>
      <c r="N606" s="3" t="str" cm="1">
        <f t="array" ref="N606">_xlfn.SWITCH(I606,
"Rob","Robusta",
"Exc","Excelsa",
"Ara","Arabica",
"Lib","Liberica",
"")</f>
        <v>Liberica</v>
      </c>
      <c r="O606" t="str" cm="1">
        <f t="array" ref="O606">_xlfn.SWITCH(J606,
"M","Medium",
"L","Light",
"D","Dark",
"")</f>
        <v>Dark</v>
      </c>
      <c r="P606" t="str">
        <f>_xlfn.XLOOKUP(Orders[[#This Row],[Customer ID]],customers!$A$1:$A$1001,customers!$I$1:$I$1001,,0)</f>
        <v>No</v>
      </c>
    </row>
    <row r="607" spans="1:16" x14ac:dyDescent="0.35">
      <c r="A607" s="2" t="s">
        <v>3905</v>
      </c>
      <c r="B607" s="4">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_xlfn.XLOOKUP(D607,products!$A$1:$A$49,products!$B$1:$B$49,,0)</f>
        <v>Ara</v>
      </c>
      <c r="J607" t="str">
        <f>_xlfn.XLOOKUP(D607,products!$A$1:$A$49,products!$C$1:$C$49,,0)</f>
        <v>L</v>
      </c>
      <c r="K607" s="7">
        <f>_xlfn.XLOOKUP(D607,products!$A$1:$A$49,products!$D$1:$D$49,,0)</f>
        <v>2.5</v>
      </c>
      <c r="L607" s="9">
        <f>_xlfn.XLOOKUP(D607,products!$A$1:$A$49,products!$E$1:$E$49,,0)</f>
        <v>29.784999999999997</v>
      </c>
      <c r="M607" s="9">
        <f t="shared" si="9"/>
        <v>148.92499999999998</v>
      </c>
      <c r="N607" s="3" t="str" cm="1">
        <f t="array" ref="N607">_xlfn.SWITCH(I607,
"Rob","Robusta",
"Exc","Excelsa",
"Ara","Arabica",
"Lib","Liberica",
"")</f>
        <v>Arabica</v>
      </c>
      <c r="O607" t="str" cm="1">
        <f t="array" ref="O607">_xlfn.SWITCH(J607,
"M","Medium",
"L","Light",
"D","Dark",
"")</f>
        <v>Light</v>
      </c>
      <c r="P607" t="str">
        <f>_xlfn.XLOOKUP(Orders[[#This Row],[Customer ID]],customers!$A$1:$A$1001,customers!$I$1:$I$1001,,0)</f>
        <v>Yes</v>
      </c>
    </row>
    <row r="608" spans="1:16" x14ac:dyDescent="0.35">
      <c r="A608" s="2" t="s">
        <v>3911</v>
      </c>
      <c r="B608" s="4">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_xlfn.XLOOKUP(D608,products!$A$1:$A$49,products!$B$1:$B$49,,0)</f>
        <v>Lib</v>
      </c>
      <c r="J608" t="str">
        <f>_xlfn.XLOOKUP(D608,products!$A$1:$A$49,products!$C$1:$C$49,,0)</f>
        <v>L</v>
      </c>
      <c r="K608" s="7">
        <f>_xlfn.XLOOKUP(D608,products!$A$1:$A$49,products!$D$1:$D$49,,0)</f>
        <v>2.5</v>
      </c>
      <c r="L608" s="9">
        <f>_xlfn.XLOOKUP(D608,products!$A$1:$A$49,products!$E$1:$E$49,,0)</f>
        <v>36.454999999999998</v>
      </c>
      <c r="M608" s="9">
        <f t="shared" si="9"/>
        <v>109.36499999999999</v>
      </c>
      <c r="N608" s="3" t="str" cm="1">
        <f t="array" ref="N608">_xlfn.SWITCH(I608,
"Rob","Robusta",
"Exc","Excelsa",
"Ara","Arabica",
"Lib","Liberica",
"")</f>
        <v>Liberica</v>
      </c>
      <c r="O608" t="str" cm="1">
        <f t="array" ref="O608">_xlfn.SWITCH(J608,
"M","Medium",
"L","Light",
"D","Dark",
"")</f>
        <v>Light</v>
      </c>
      <c r="P608" t="str">
        <f>_xlfn.XLOOKUP(Orders[[#This Row],[Customer ID]],customers!$A$1:$A$1001,customers!$I$1:$I$1001,,0)</f>
        <v>Yes</v>
      </c>
    </row>
    <row r="609" spans="1:16" x14ac:dyDescent="0.35">
      <c r="A609" s="2" t="s">
        <v>3917</v>
      </c>
      <c r="B609" s="4">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_xlfn.XLOOKUP(D609,products!$A$1:$A$49,products!$B$1:$B$49,,0)</f>
        <v>Exc</v>
      </c>
      <c r="J609" t="str">
        <f>_xlfn.XLOOKUP(D609,products!$A$1:$A$49,products!$C$1:$C$49,,0)</f>
        <v>D</v>
      </c>
      <c r="K609" s="7">
        <f>_xlfn.XLOOKUP(D609,products!$A$1:$A$49,products!$D$1:$D$49,,0)</f>
        <v>0.2</v>
      </c>
      <c r="L609" s="9">
        <f>_xlfn.XLOOKUP(D609,products!$A$1:$A$49,products!$E$1:$E$49,,0)</f>
        <v>3.645</v>
      </c>
      <c r="M609" s="9">
        <f t="shared" si="9"/>
        <v>3.645</v>
      </c>
      <c r="N609" s="3" t="str" cm="1">
        <f t="array" ref="N609">_xlfn.SWITCH(I609,
"Rob","Robusta",
"Exc","Excelsa",
"Ara","Arabica",
"Lib","Liberica",
"")</f>
        <v>Excelsa</v>
      </c>
      <c r="O609" t="str" cm="1">
        <f t="array" ref="O609">_xlfn.SWITCH(J609,
"M","Medium",
"L","Light",
"D","Dark",
"")</f>
        <v>Dark</v>
      </c>
      <c r="P609" t="str">
        <f>_xlfn.XLOOKUP(Orders[[#This Row],[Customer ID]],customers!$A$1:$A$1001,customers!$I$1:$I$1001,,0)</f>
        <v>Yes</v>
      </c>
    </row>
    <row r="610" spans="1:16" x14ac:dyDescent="0.35">
      <c r="A610" s="2" t="s">
        <v>3923</v>
      </c>
      <c r="B610" s="4">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_xlfn.XLOOKUP(D610,products!$A$1:$A$49,products!$B$1:$B$49,,0)</f>
        <v>Exc</v>
      </c>
      <c r="J610" t="str">
        <f>_xlfn.XLOOKUP(D610,products!$A$1:$A$49,products!$C$1:$C$49,,0)</f>
        <v>D</v>
      </c>
      <c r="K610" s="7">
        <f>_xlfn.XLOOKUP(D610,products!$A$1:$A$49,products!$D$1:$D$49,,0)</f>
        <v>2.5</v>
      </c>
      <c r="L610" s="9">
        <f>_xlfn.XLOOKUP(D610,products!$A$1:$A$49,products!$E$1:$E$49,,0)</f>
        <v>27.945</v>
      </c>
      <c r="M610" s="9">
        <f t="shared" si="9"/>
        <v>55.89</v>
      </c>
      <c r="N610" s="3" t="str" cm="1">
        <f t="array" ref="N610">_xlfn.SWITCH(I610,
"Rob","Robusta",
"Exc","Excelsa",
"Ara","Arabica",
"Lib","Liberica",
"")</f>
        <v>Excelsa</v>
      </c>
      <c r="O610" t="str" cm="1">
        <f t="array" ref="O610">_xlfn.SWITCH(J610,
"M","Medium",
"L","Light",
"D","Dark",
"")</f>
        <v>Dark</v>
      </c>
      <c r="P610" t="str">
        <f>_xlfn.XLOOKUP(Orders[[#This Row],[Customer ID]],customers!$A$1:$A$1001,customers!$I$1:$I$1001,,0)</f>
        <v>No</v>
      </c>
    </row>
    <row r="611" spans="1:16" x14ac:dyDescent="0.35">
      <c r="A611" s="2" t="s">
        <v>3927</v>
      </c>
      <c r="B611" s="4">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_xlfn.XLOOKUP(D611,products!$A$1:$A$49,products!$B$1:$B$49,,0)</f>
        <v>Lib</v>
      </c>
      <c r="J611" t="str">
        <f>_xlfn.XLOOKUP(D611,products!$A$1:$A$49,products!$C$1:$C$49,,0)</f>
        <v>M</v>
      </c>
      <c r="K611" s="7">
        <f>_xlfn.XLOOKUP(D611,products!$A$1:$A$49,products!$D$1:$D$49,,0)</f>
        <v>0.2</v>
      </c>
      <c r="L611" s="9">
        <f>_xlfn.XLOOKUP(D611,products!$A$1:$A$49,products!$E$1:$E$49,,0)</f>
        <v>4.3650000000000002</v>
      </c>
      <c r="M611" s="9">
        <f t="shared" si="9"/>
        <v>26.19</v>
      </c>
      <c r="N611" s="3" t="str" cm="1">
        <f t="array" ref="N611">_xlfn.SWITCH(I611,
"Rob","Robusta",
"Exc","Excelsa",
"Ara","Arabica",
"Lib","Liberica",
"")</f>
        <v>Liberica</v>
      </c>
      <c r="O611" t="str" cm="1">
        <f t="array" ref="O611">_xlfn.SWITCH(J611,
"M","Medium",
"L","Light",
"D","Dark",
"")</f>
        <v>Medium</v>
      </c>
      <c r="P611" t="str">
        <f>_xlfn.XLOOKUP(Orders[[#This Row],[Customer ID]],customers!$A$1:$A$1001,customers!$I$1:$I$1001,,0)</f>
        <v>Yes</v>
      </c>
    </row>
    <row r="612" spans="1:16" x14ac:dyDescent="0.35">
      <c r="A612" s="2" t="s">
        <v>3933</v>
      </c>
      <c r="B612" s="4">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_xlfn.XLOOKUP(D612,products!$A$1:$A$49,products!$B$1:$B$49,,0)</f>
        <v>Rob</v>
      </c>
      <c r="J612" t="str">
        <f>_xlfn.XLOOKUP(D612,products!$A$1:$A$49,products!$C$1:$C$49,,0)</f>
        <v>M</v>
      </c>
      <c r="K612" s="7">
        <f>_xlfn.XLOOKUP(D612,products!$A$1:$A$49,products!$D$1:$D$49,,0)</f>
        <v>1</v>
      </c>
      <c r="L612" s="9">
        <f>_xlfn.XLOOKUP(D612,products!$A$1:$A$49,products!$E$1:$E$49,,0)</f>
        <v>9.9499999999999993</v>
      </c>
      <c r="M612" s="9">
        <f t="shared" si="9"/>
        <v>39.799999999999997</v>
      </c>
      <c r="N612" s="3" t="str" cm="1">
        <f t="array" ref="N612">_xlfn.SWITCH(I612,
"Rob","Robusta",
"Exc","Excelsa",
"Ara","Arabica",
"Lib","Liberica",
"")</f>
        <v>Robusta</v>
      </c>
      <c r="O612" t="str" cm="1">
        <f t="array" ref="O612">_xlfn.SWITCH(J612,
"M","Medium",
"L","Light",
"D","Dark",
"")</f>
        <v>Medium</v>
      </c>
      <c r="P612" t="str">
        <f>_xlfn.XLOOKUP(Orders[[#This Row],[Customer ID]],customers!$A$1:$A$1001,customers!$I$1:$I$1001,,0)</f>
        <v>No</v>
      </c>
    </row>
    <row r="613" spans="1:16" x14ac:dyDescent="0.35">
      <c r="A613" s="2" t="s">
        <v>3939</v>
      </c>
      <c r="B613" s="4">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_xlfn.XLOOKUP(D613,products!$A$1:$A$49,products!$B$1:$B$49,,0)</f>
        <v>Exc</v>
      </c>
      <c r="J613" t="str">
        <f>_xlfn.XLOOKUP(D613,products!$A$1:$A$49,products!$C$1:$C$49,,0)</f>
        <v>L</v>
      </c>
      <c r="K613" s="7">
        <f>_xlfn.XLOOKUP(D613,products!$A$1:$A$49,products!$D$1:$D$49,,0)</f>
        <v>2.5</v>
      </c>
      <c r="L613" s="9">
        <f>_xlfn.XLOOKUP(D613,products!$A$1:$A$49,products!$E$1:$E$49,,0)</f>
        <v>34.154999999999994</v>
      </c>
      <c r="M613" s="9">
        <f t="shared" si="9"/>
        <v>68.309999999999988</v>
      </c>
      <c r="N613" s="3" t="str" cm="1">
        <f t="array" ref="N613">_xlfn.SWITCH(I613,
"Rob","Robusta",
"Exc","Excelsa",
"Ara","Arabica",
"Lib","Liberica",
"")</f>
        <v>Excelsa</v>
      </c>
      <c r="O613" t="str" cm="1">
        <f t="array" ref="O613">_xlfn.SWITCH(J613,
"M","Medium",
"L","Light",
"D","Dark",
"")</f>
        <v>Light</v>
      </c>
      <c r="P613" t="str">
        <f>_xlfn.XLOOKUP(Orders[[#This Row],[Customer ID]],customers!$A$1:$A$1001,customers!$I$1:$I$1001,,0)</f>
        <v>No</v>
      </c>
    </row>
    <row r="614" spans="1:16" x14ac:dyDescent="0.35">
      <c r="A614" s="2" t="s">
        <v>3945</v>
      </c>
      <c r="B614" s="4">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_xlfn.XLOOKUP(D614,products!$A$1:$A$49,products!$B$1:$B$49,,0)</f>
        <v>Ara</v>
      </c>
      <c r="J614" t="str">
        <f>_xlfn.XLOOKUP(D614,products!$A$1:$A$49,products!$C$1:$C$49,,0)</f>
        <v>M</v>
      </c>
      <c r="K614" s="7">
        <f>_xlfn.XLOOKUP(D614,products!$A$1:$A$49,products!$D$1:$D$49,,0)</f>
        <v>0.2</v>
      </c>
      <c r="L614" s="9">
        <f>_xlfn.XLOOKUP(D614,products!$A$1:$A$49,products!$E$1:$E$49,,0)</f>
        <v>3.375</v>
      </c>
      <c r="M614" s="9">
        <f t="shared" si="9"/>
        <v>13.5</v>
      </c>
      <c r="N614" s="3" t="str" cm="1">
        <f t="array" ref="N614">_xlfn.SWITCH(I614,
"Rob","Robusta",
"Exc","Excelsa",
"Ara","Arabica",
"Lib","Liberica",
"")</f>
        <v>Arabica</v>
      </c>
      <c r="O614" t="str" cm="1">
        <f t="array" ref="O614">_xlfn.SWITCH(J614,
"M","Medium",
"L","Light",
"D","Dark",
"")</f>
        <v>Medium</v>
      </c>
      <c r="P614" t="str">
        <f>_xlfn.XLOOKUP(Orders[[#This Row],[Customer ID]],customers!$A$1:$A$1001,customers!$I$1:$I$1001,,0)</f>
        <v>No</v>
      </c>
    </row>
    <row r="615" spans="1:16" x14ac:dyDescent="0.35">
      <c r="A615" s="2" t="s">
        <v>3950</v>
      </c>
      <c r="B615" s="4">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_xlfn.XLOOKUP(D615,products!$A$1:$A$49,products!$B$1:$B$49,,0)</f>
        <v>Rob</v>
      </c>
      <c r="J615" t="str">
        <f>_xlfn.XLOOKUP(D615,products!$A$1:$A$49,products!$C$1:$C$49,,0)</f>
        <v>M</v>
      </c>
      <c r="K615" s="7">
        <f>_xlfn.XLOOKUP(D615,products!$A$1:$A$49,products!$D$1:$D$49,,0)</f>
        <v>0.5</v>
      </c>
      <c r="L615" s="9">
        <f>_xlfn.XLOOKUP(D615,products!$A$1:$A$49,products!$E$1:$E$49,,0)</f>
        <v>5.97</v>
      </c>
      <c r="M615" s="9">
        <f t="shared" si="9"/>
        <v>5.97</v>
      </c>
      <c r="N615" s="3" t="str" cm="1">
        <f t="array" ref="N615">_xlfn.SWITCH(I615,
"Rob","Robusta",
"Exc","Excelsa",
"Ara","Arabica",
"Lib","Liberica",
"")</f>
        <v>Robusta</v>
      </c>
      <c r="O615" t="str" cm="1">
        <f t="array" ref="O615">_xlfn.SWITCH(J615,
"M","Medium",
"L","Light",
"D","Dark",
"")</f>
        <v>Medium</v>
      </c>
      <c r="P615" t="str">
        <f>_xlfn.XLOOKUP(Orders[[#This Row],[Customer ID]],customers!$A$1:$A$1001,customers!$I$1:$I$1001,,0)</f>
        <v>No</v>
      </c>
    </row>
    <row r="616" spans="1:16" x14ac:dyDescent="0.35">
      <c r="A616" s="2" t="s">
        <v>3955</v>
      </c>
      <c r="B616" s="4">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_xlfn.XLOOKUP(D616,products!$A$1:$A$49,products!$B$1:$B$49,,0)</f>
        <v>Rob</v>
      </c>
      <c r="J616" t="str">
        <f>_xlfn.XLOOKUP(D616,products!$A$1:$A$49,products!$C$1:$C$49,,0)</f>
        <v>M</v>
      </c>
      <c r="K616" s="7">
        <f>_xlfn.XLOOKUP(D616,products!$A$1:$A$49,products!$D$1:$D$49,,0)</f>
        <v>0.5</v>
      </c>
      <c r="L616" s="9">
        <f>_xlfn.XLOOKUP(D616,products!$A$1:$A$49,products!$E$1:$E$49,,0)</f>
        <v>5.97</v>
      </c>
      <c r="M616" s="9">
        <f t="shared" si="9"/>
        <v>29.849999999999998</v>
      </c>
      <c r="N616" s="3" t="str" cm="1">
        <f t="array" ref="N616">_xlfn.SWITCH(I616,
"Rob","Robusta",
"Exc","Excelsa",
"Ara","Arabica",
"Lib","Liberica",
"")</f>
        <v>Robusta</v>
      </c>
      <c r="O616" t="str" cm="1">
        <f t="array" ref="O616">_xlfn.SWITCH(J616,
"M","Medium",
"L","Light",
"D","Dark",
"")</f>
        <v>Medium</v>
      </c>
      <c r="P616" t="str">
        <f>_xlfn.XLOOKUP(Orders[[#This Row],[Customer ID]],customers!$A$1:$A$1001,customers!$I$1:$I$1001,,0)</f>
        <v>Yes</v>
      </c>
    </row>
    <row r="617" spans="1:16" x14ac:dyDescent="0.35">
      <c r="A617" s="2" t="s">
        <v>3960</v>
      </c>
      <c r="B617" s="4">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_xlfn.XLOOKUP(D617,products!$A$1:$A$49,products!$B$1:$B$49,,0)</f>
        <v>Lib</v>
      </c>
      <c r="J617" t="str">
        <f>_xlfn.XLOOKUP(D617,products!$A$1:$A$49,products!$C$1:$C$49,,0)</f>
        <v>L</v>
      </c>
      <c r="K617" s="7">
        <f>_xlfn.XLOOKUP(D617,products!$A$1:$A$49,products!$D$1:$D$49,,0)</f>
        <v>2.5</v>
      </c>
      <c r="L617" s="9">
        <f>_xlfn.XLOOKUP(D617,products!$A$1:$A$49,products!$E$1:$E$49,,0)</f>
        <v>36.454999999999998</v>
      </c>
      <c r="M617" s="9">
        <f t="shared" si="9"/>
        <v>72.91</v>
      </c>
      <c r="N617" s="3" t="str" cm="1">
        <f t="array" ref="N617">_xlfn.SWITCH(I617,
"Rob","Robusta",
"Exc","Excelsa",
"Ara","Arabica",
"Lib","Liberica",
"")</f>
        <v>Liberica</v>
      </c>
      <c r="O617" t="str" cm="1">
        <f t="array" ref="O617">_xlfn.SWITCH(J617,
"M","Medium",
"L","Light",
"D","Dark",
"")</f>
        <v>Light</v>
      </c>
      <c r="P617" t="str">
        <f>_xlfn.XLOOKUP(Orders[[#This Row],[Customer ID]],customers!$A$1:$A$1001,customers!$I$1:$I$1001,,0)</f>
        <v>Yes</v>
      </c>
    </row>
    <row r="618" spans="1:16" x14ac:dyDescent="0.35">
      <c r="A618" s="2" t="s">
        <v>3966</v>
      </c>
      <c r="B618" s="4">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_xlfn.XLOOKUP(D618,products!$A$1:$A$49,products!$B$1:$B$49,,0)</f>
        <v>Exc</v>
      </c>
      <c r="J618" t="str">
        <f>_xlfn.XLOOKUP(D618,products!$A$1:$A$49,products!$C$1:$C$49,,0)</f>
        <v>M</v>
      </c>
      <c r="K618" s="7">
        <f>_xlfn.XLOOKUP(D618,products!$A$1:$A$49,products!$D$1:$D$49,,0)</f>
        <v>2.5</v>
      </c>
      <c r="L618" s="9">
        <f>_xlfn.XLOOKUP(D618,products!$A$1:$A$49,products!$E$1:$E$49,,0)</f>
        <v>31.624999999999996</v>
      </c>
      <c r="M618" s="9">
        <f t="shared" si="9"/>
        <v>126.49999999999999</v>
      </c>
      <c r="N618" s="3" t="str" cm="1">
        <f t="array" ref="N618">_xlfn.SWITCH(I618,
"Rob","Robusta",
"Exc","Excelsa",
"Ara","Arabica",
"Lib","Liberica",
"")</f>
        <v>Excelsa</v>
      </c>
      <c r="O618" t="str" cm="1">
        <f t="array" ref="O618">_xlfn.SWITCH(J618,
"M","Medium",
"L","Light",
"D","Dark",
"")</f>
        <v>Medium</v>
      </c>
      <c r="P618" t="str">
        <f>_xlfn.XLOOKUP(Orders[[#This Row],[Customer ID]],customers!$A$1:$A$1001,customers!$I$1:$I$1001,,0)</f>
        <v>No</v>
      </c>
    </row>
    <row r="619" spans="1:16" x14ac:dyDescent="0.35">
      <c r="A619" s="2" t="s">
        <v>3972</v>
      </c>
      <c r="B619" s="4">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_xlfn.XLOOKUP(D619,products!$A$1:$A$49,products!$B$1:$B$49,,0)</f>
        <v>Lib</v>
      </c>
      <c r="J619" t="str">
        <f>_xlfn.XLOOKUP(D619,products!$A$1:$A$49,products!$C$1:$C$49,,0)</f>
        <v>M</v>
      </c>
      <c r="K619" s="7">
        <f>_xlfn.XLOOKUP(D619,products!$A$1:$A$49,products!$D$1:$D$49,,0)</f>
        <v>2.5</v>
      </c>
      <c r="L619" s="9">
        <f>_xlfn.XLOOKUP(D619,products!$A$1:$A$49,products!$E$1:$E$49,,0)</f>
        <v>33.464999999999996</v>
      </c>
      <c r="M619" s="9">
        <f t="shared" si="9"/>
        <v>33.464999999999996</v>
      </c>
      <c r="N619" s="3" t="str" cm="1">
        <f t="array" ref="N619">_xlfn.SWITCH(I619,
"Rob","Robusta",
"Exc","Excelsa",
"Ara","Arabica",
"Lib","Liberica",
"")</f>
        <v>Liberica</v>
      </c>
      <c r="O619" t="str" cm="1">
        <f t="array" ref="O619">_xlfn.SWITCH(J619,
"M","Medium",
"L","Light",
"D","Dark",
"")</f>
        <v>Medium</v>
      </c>
      <c r="P619" t="str">
        <f>_xlfn.XLOOKUP(Orders[[#This Row],[Customer ID]],customers!$A$1:$A$1001,customers!$I$1:$I$1001,,0)</f>
        <v>No</v>
      </c>
    </row>
    <row r="620" spans="1:16" x14ac:dyDescent="0.35">
      <c r="A620" s="2" t="s">
        <v>3978</v>
      </c>
      <c r="B620" s="4">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_xlfn.XLOOKUP(D620,products!$A$1:$A$49,products!$B$1:$B$49,,0)</f>
        <v>Exc</v>
      </c>
      <c r="J620" t="str">
        <f>_xlfn.XLOOKUP(D620,products!$A$1:$A$49,products!$C$1:$C$49,,0)</f>
        <v>D</v>
      </c>
      <c r="K620" s="7">
        <f>_xlfn.XLOOKUP(D620,products!$A$1:$A$49,products!$D$1:$D$49,,0)</f>
        <v>1</v>
      </c>
      <c r="L620" s="9">
        <f>_xlfn.XLOOKUP(D620,products!$A$1:$A$49,products!$E$1:$E$49,,0)</f>
        <v>12.15</v>
      </c>
      <c r="M620" s="9">
        <f t="shared" si="9"/>
        <v>72.900000000000006</v>
      </c>
      <c r="N620" s="3" t="str" cm="1">
        <f t="array" ref="N620">_xlfn.SWITCH(I620,
"Rob","Robusta",
"Exc","Excelsa",
"Ara","Arabica",
"Lib","Liberica",
"")</f>
        <v>Excelsa</v>
      </c>
      <c r="O620" t="str" cm="1">
        <f t="array" ref="O620">_xlfn.SWITCH(J620,
"M","Medium",
"L","Light",
"D","Dark",
"")</f>
        <v>Dark</v>
      </c>
      <c r="P620" t="str">
        <f>_xlfn.XLOOKUP(Orders[[#This Row],[Customer ID]],customers!$A$1:$A$1001,customers!$I$1:$I$1001,,0)</f>
        <v>Yes</v>
      </c>
    </row>
    <row r="621" spans="1:16" x14ac:dyDescent="0.35">
      <c r="A621" s="2" t="s">
        <v>3984</v>
      </c>
      <c r="B621" s="4">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_xlfn.XLOOKUP(D621,products!$A$1:$A$49,products!$B$1:$B$49,,0)</f>
        <v>Lib</v>
      </c>
      <c r="J621" t="str">
        <f>_xlfn.XLOOKUP(D621,products!$A$1:$A$49,products!$C$1:$C$49,,0)</f>
        <v>D</v>
      </c>
      <c r="K621" s="7">
        <f>_xlfn.XLOOKUP(D621,products!$A$1:$A$49,products!$D$1:$D$49,,0)</f>
        <v>0.5</v>
      </c>
      <c r="L621" s="9">
        <f>_xlfn.XLOOKUP(D621,products!$A$1:$A$49,products!$E$1:$E$49,,0)</f>
        <v>7.77</v>
      </c>
      <c r="M621" s="9">
        <f t="shared" si="9"/>
        <v>15.54</v>
      </c>
      <c r="N621" s="3" t="str" cm="1">
        <f t="array" ref="N621">_xlfn.SWITCH(I621,
"Rob","Robusta",
"Exc","Excelsa",
"Ara","Arabica",
"Lib","Liberica",
"")</f>
        <v>Liberica</v>
      </c>
      <c r="O621" t="str" cm="1">
        <f t="array" ref="O621">_xlfn.SWITCH(J621,
"M","Medium",
"L","Light",
"D","Dark",
"")</f>
        <v>Dark</v>
      </c>
      <c r="P621" t="str">
        <f>_xlfn.XLOOKUP(Orders[[#This Row],[Customer ID]],customers!$A$1:$A$1001,customers!$I$1:$I$1001,,0)</f>
        <v>Yes</v>
      </c>
    </row>
    <row r="622" spans="1:16" x14ac:dyDescent="0.35">
      <c r="A622" s="2" t="s">
        <v>3990</v>
      </c>
      <c r="B622" s="4">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_xlfn.XLOOKUP(D622,products!$A$1:$A$49,products!$B$1:$B$49,,0)</f>
        <v>Ara</v>
      </c>
      <c r="J622" t="str">
        <f>_xlfn.XLOOKUP(D622,products!$A$1:$A$49,products!$C$1:$C$49,,0)</f>
        <v>M</v>
      </c>
      <c r="K622" s="7">
        <f>_xlfn.XLOOKUP(D622,products!$A$1:$A$49,products!$D$1:$D$49,,0)</f>
        <v>0.2</v>
      </c>
      <c r="L622" s="9">
        <f>_xlfn.XLOOKUP(D622,products!$A$1:$A$49,products!$E$1:$E$49,,0)</f>
        <v>3.375</v>
      </c>
      <c r="M622" s="9">
        <f t="shared" si="9"/>
        <v>20.25</v>
      </c>
      <c r="N622" s="3" t="str" cm="1">
        <f t="array" ref="N622">_xlfn.SWITCH(I622,
"Rob","Robusta",
"Exc","Excelsa",
"Ara","Arabica",
"Lib","Liberica",
"")</f>
        <v>Arabica</v>
      </c>
      <c r="O622" t="str" cm="1">
        <f t="array" ref="O622">_xlfn.SWITCH(J622,
"M","Medium",
"L","Light",
"D","Dark",
"")</f>
        <v>Medium</v>
      </c>
      <c r="P622" t="str">
        <f>_xlfn.XLOOKUP(Orders[[#This Row],[Customer ID]],customers!$A$1:$A$1001,customers!$I$1:$I$1001,,0)</f>
        <v>No</v>
      </c>
    </row>
    <row r="623" spans="1:16" x14ac:dyDescent="0.35">
      <c r="A623" s="2" t="s">
        <v>3996</v>
      </c>
      <c r="B623" s="4">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_xlfn.XLOOKUP(D623,products!$A$1:$A$49,products!$B$1:$B$49,,0)</f>
        <v>Ara</v>
      </c>
      <c r="J623" t="str">
        <f>_xlfn.XLOOKUP(D623,products!$A$1:$A$49,products!$C$1:$C$49,,0)</f>
        <v>L</v>
      </c>
      <c r="K623" s="7">
        <f>_xlfn.XLOOKUP(D623,products!$A$1:$A$49,products!$D$1:$D$49,,0)</f>
        <v>1</v>
      </c>
      <c r="L623" s="9">
        <f>_xlfn.XLOOKUP(D623,products!$A$1:$A$49,products!$E$1:$E$49,,0)</f>
        <v>12.95</v>
      </c>
      <c r="M623" s="9">
        <f t="shared" si="9"/>
        <v>77.699999999999989</v>
      </c>
      <c r="N623" s="3" t="str" cm="1">
        <f t="array" ref="N623">_xlfn.SWITCH(I623,
"Rob","Robusta",
"Exc","Excelsa",
"Ara","Arabica",
"Lib","Liberica",
"")</f>
        <v>Arabica</v>
      </c>
      <c r="O623" t="str" cm="1">
        <f t="array" ref="O623">_xlfn.SWITCH(J623,
"M","Medium",
"L","Light",
"D","Dark",
"")</f>
        <v>Light</v>
      </c>
      <c r="P623" t="str">
        <f>_xlfn.XLOOKUP(Orders[[#This Row],[Customer ID]],customers!$A$1:$A$1001,customers!$I$1:$I$1001,,0)</f>
        <v>No</v>
      </c>
    </row>
    <row r="624" spans="1:16" x14ac:dyDescent="0.35">
      <c r="A624" s="2" t="s">
        <v>4002</v>
      </c>
      <c r="B624" s="4">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_xlfn.XLOOKUP(D624,products!$A$1:$A$49,products!$B$1:$B$49,,0)</f>
        <v>Lib</v>
      </c>
      <c r="J624" t="str">
        <f>_xlfn.XLOOKUP(D624,products!$A$1:$A$49,products!$C$1:$C$49,,0)</f>
        <v>M</v>
      </c>
      <c r="K624" s="7">
        <f>_xlfn.XLOOKUP(D624,products!$A$1:$A$49,products!$D$1:$D$49,,0)</f>
        <v>2.5</v>
      </c>
      <c r="L624" s="9">
        <f>_xlfn.XLOOKUP(D624,products!$A$1:$A$49,products!$E$1:$E$49,,0)</f>
        <v>33.464999999999996</v>
      </c>
      <c r="M624" s="9">
        <f t="shared" si="9"/>
        <v>133.85999999999999</v>
      </c>
      <c r="N624" s="3" t="str" cm="1">
        <f t="array" ref="N624">_xlfn.SWITCH(I624,
"Rob","Robusta",
"Exc","Excelsa",
"Ara","Arabica",
"Lib","Liberica",
"")</f>
        <v>Liberica</v>
      </c>
      <c r="O624" t="str" cm="1">
        <f t="array" ref="O624">_xlfn.SWITCH(J624,
"M","Medium",
"L","Light",
"D","Dark",
"")</f>
        <v>Medium</v>
      </c>
      <c r="P624" t="str">
        <f>_xlfn.XLOOKUP(Orders[[#This Row],[Customer ID]],customers!$A$1:$A$1001,customers!$I$1:$I$1001,,0)</f>
        <v>No</v>
      </c>
    </row>
    <row r="625" spans="1:16" x14ac:dyDescent="0.35">
      <c r="A625" s="2" t="s">
        <v>4007</v>
      </c>
      <c r="B625" s="4">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_xlfn.XLOOKUP(D625,products!$A$1:$A$49,products!$B$1:$B$49,,0)</f>
        <v>Exc</v>
      </c>
      <c r="J625" t="str">
        <f>_xlfn.XLOOKUP(D625,products!$A$1:$A$49,products!$C$1:$C$49,,0)</f>
        <v>D</v>
      </c>
      <c r="K625" s="7">
        <f>_xlfn.XLOOKUP(D625,products!$A$1:$A$49,products!$D$1:$D$49,,0)</f>
        <v>1</v>
      </c>
      <c r="L625" s="9">
        <f>_xlfn.XLOOKUP(D625,products!$A$1:$A$49,products!$E$1:$E$49,,0)</f>
        <v>12.15</v>
      </c>
      <c r="M625" s="9">
        <f t="shared" si="9"/>
        <v>12.15</v>
      </c>
      <c r="N625" s="3" t="str" cm="1">
        <f t="array" ref="N625">_xlfn.SWITCH(I625,
"Rob","Robusta",
"Exc","Excelsa",
"Ara","Arabica",
"Lib","Liberica",
"")</f>
        <v>Excelsa</v>
      </c>
      <c r="O625" t="str" cm="1">
        <f t="array" ref="O625">_xlfn.SWITCH(J625,
"M","Medium",
"L","Light",
"D","Dark",
"")</f>
        <v>Dark</v>
      </c>
      <c r="P625" t="str">
        <f>_xlfn.XLOOKUP(Orders[[#This Row],[Customer ID]],customers!$A$1:$A$1001,customers!$I$1:$I$1001,,0)</f>
        <v>No</v>
      </c>
    </row>
    <row r="626" spans="1:16" x14ac:dyDescent="0.35">
      <c r="A626" s="2" t="s">
        <v>4012</v>
      </c>
      <c r="B626" s="4">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_xlfn.XLOOKUP(D626,products!$A$1:$A$49,products!$B$1:$B$49,,0)</f>
        <v>Exc</v>
      </c>
      <c r="J626" t="str">
        <f>_xlfn.XLOOKUP(D626,products!$A$1:$A$49,products!$C$1:$C$49,,0)</f>
        <v>M</v>
      </c>
      <c r="K626" s="7">
        <f>_xlfn.XLOOKUP(D626,products!$A$1:$A$49,products!$D$1:$D$49,,0)</f>
        <v>2.5</v>
      </c>
      <c r="L626" s="9">
        <f>_xlfn.XLOOKUP(D626,products!$A$1:$A$49,products!$E$1:$E$49,,0)</f>
        <v>31.624999999999996</v>
      </c>
      <c r="M626" s="9">
        <f t="shared" si="9"/>
        <v>63.249999999999993</v>
      </c>
      <c r="N626" s="3" t="str" cm="1">
        <f t="array" ref="N626">_xlfn.SWITCH(I626,
"Rob","Robusta",
"Exc","Excelsa",
"Ara","Arabica",
"Lib","Liberica",
"")</f>
        <v>Excelsa</v>
      </c>
      <c r="O626" t="str" cm="1">
        <f t="array" ref="O626">_xlfn.SWITCH(J626,
"M","Medium",
"L","Light",
"D","Dark",
"")</f>
        <v>Medium</v>
      </c>
      <c r="P626" t="str">
        <f>_xlfn.XLOOKUP(Orders[[#This Row],[Customer ID]],customers!$A$1:$A$1001,customers!$I$1:$I$1001,,0)</f>
        <v>Yes</v>
      </c>
    </row>
    <row r="627" spans="1:16" x14ac:dyDescent="0.35">
      <c r="A627" s="2" t="s">
        <v>4017</v>
      </c>
      <c r="B627" s="4">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_xlfn.XLOOKUP(D627,products!$A$1:$A$49,products!$B$1:$B$49,,0)</f>
        <v>Rob</v>
      </c>
      <c r="J627" t="str">
        <f>_xlfn.XLOOKUP(D627,products!$A$1:$A$49,products!$C$1:$C$49,,0)</f>
        <v>L</v>
      </c>
      <c r="K627" s="7">
        <f>_xlfn.XLOOKUP(D627,products!$A$1:$A$49,products!$D$1:$D$49,,0)</f>
        <v>0.5</v>
      </c>
      <c r="L627" s="9">
        <f>_xlfn.XLOOKUP(D627,products!$A$1:$A$49,products!$E$1:$E$49,,0)</f>
        <v>7.169999999999999</v>
      </c>
      <c r="M627" s="9">
        <f t="shared" si="9"/>
        <v>35.849999999999994</v>
      </c>
      <c r="N627" s="3" t="str" cm="1">
        <f t="array" ref="N627">_xlfn.SWITCH(I627,
"Rob","Robusta",
"Exc","Excelsa",
"Ara","Arabica",
"Lib","Liberica",
"")</f>
        <v>Robusta</v>
      </c>
      <c r="O627" t="str" cm="1">
        <f t="array" ref="O627">_xlfn.SWITCH(J627,
"M","Medium",
"L","Light",
"D","Dark",
"")</f>
        <v>Light</v>
      </c>
      <c r="P627" t="str">
        <f>_xlfn.XLOOKUP(Orders[[#This Row],[Customer ID]],customers!$A$1:$A$1001,customers!$I$1:$I$1001,,0)</f>
        <v>No</v>
      </c>
    </row>
    <row r="628" spans="1:16" x14ac:dyDescent="0.35">
      <c r="A628" s="2" t="s">
        <v>4023</v>
      </c>
      <c r="B628" s="4">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_xlfn.XLOOKUP(D628,products!$A$1:$A$49,products!$B$1:$B$49,,0)</f>
        <v>Ara</v>
      </c>
      <c r="J628" t="str">
        <f>_xlfn.XLOOKUP(D628,products!$A$1:$A$49,products!$C$1:$C$49,,0)</f>
        <v>M</v>
      </c>
      <c r="K628" s="7">
        <f>_xlfn.XLOOKUP(D628,products!$A$1:$A$49,products!$D$1:$D$49,,0)</f>
        <v>2.5</v>
      </c>
      <c r="L628" s="9">
        <f>_xlfn.XLOOKUP(D628,products!$A$1:$A$49,products!$E$1:$E$49,,0)</f>
        <v>25.874999999999996</v>
      </c>
      <c r="M628" s="9">
        <f t="shared" si="9"/>
        <v>77.624999999999986</v>
      </c>
      <c r="N628" s="3" t="str" cm="1">
        <f t="array" ref="N628">_xlfn.SWITCH(I628,
"Rob","Robusta",
"Exc","Excelsa",
"Ara","Arabica",
"Lib","Liberica",
"")</f>
        <v>Arabica</v>
      </c>
      <c r="O628" t="str" cm="1">
        <f t="array" ref="O628">_xlfn.SWITCH(J628,
"M","Medium",
"L","Light",
"D","Dark",
"")</f>
        <v>Medium</v>
      </c>
      <c r="P628" t="str">
        <f>_xlfn.XLOOKUP(Orders[[#This Row],[Customer ID]],customers!$A$1:$A$1001,customers!$I$1:$I$1001,,0)</f>
        <v>No</v>
      </c>
    </row>
    <row r="629" spans="1:16" x14ac:dyDescent="0.35">
      <c r="A629" s="2" t="s">
        <v>4029</v>
      </c>
      <c r="B629" s="4">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_xlfn.XLOOKUP(D629,products!$A$1:$A$49,products!$B$1:$B$49,,0)</f>
        <v>Exc</v>
      </c>
      <c r="J629" t="str">
        <f>_xlfn.XLOOKUP(D629,products!$A$1:$A$49,products!$C$1:$C$49,,0)</f>
        <v>M</v>
      </c>
      <c r="K629" s="7">
        <f>_xlfn.XLOOKUP(D629,products!$A$1:$A$49,products!$D$1:$D$49,,0)</f>
        <v>2.5</v>
      </c>
      <c r="L629" s="9">
        <f>_xlfn.XLOOKUP(D629,products!$A$1:$A$49,products!$E$1:$E$49,,0)</f>
        <v>31.624999999999996</v>
      </c>
      <c r="M629" s="9">
        <f t="shared" si="9"/>
        <v>63.249999999999993</v>
      </c>
      <c r="N629" s="3" t="str" cm="1">
        <f t="array" ref="N629">_xlfn.SWITCH(I629,
"Rob","Robusta",
"Exc","Excelsa",
"Ara","Arabica",
"Lib","Liberica",
"")</f>
        <v>Excelsa</v>
      </c>
      <c r="O629" t="str" cm="1">
        <f t="array" ref="O629">_xlfn.SWITCH(J629,
"M","Medium",
"L","Light",
"D","Dark",
"")</f>
        <v>Medium</v>
      </c>
      <c r="P629" t="str">
        <f>_xlfn.XLOOKUP(Orders[[#This Row],[Customer ID]],customers!$A$1:$A$1001,customers!$I$1:$I$1001,,0)</f>
        <v>Yes</v>
      </c>
    </row>
    <row r="630" spans="1:16" x14ac:dyDescent="0.35">
      <c r="A630" s="2" t="s">
        <v>4035</v>
      </c>
      <c r="B630" s="4">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_xlfn.XLOOKUP(D630,products!$A$1:$A$49,products!$B$1:$B$49,,0)</f>
        <v>Exc</v>
      </c>
      <c r="J630" t="str">
        <f>_xlfn.XLOOKUP(D630,products!$A$1:$A$49,products!$C$1:$C$49,,0)</f>
        <v>L</v>
      </c>
      <c r="K630" s="7">
        <f>_xlfn.XLOOKUP(D630,products!$A$1:$A$49,products!$D$1:$D$49,,0)</f>
        <v>0.2</v>
      </c>
      <c r="L630" s="9">
        <f>_xlfn.XLOOKUP(D630,products!$A$1:$A$49,products!$E$1:$E$49,,0)</f>
        <v>4.4550000000000001</v>
      </c>
      <c r="M630" s="9">
        <f t="shared" si="9"/>
        <v>26.73</v>
      </c>
      <c r="N630" s="3" t="str" cm="1">
        <f t="array" ref="N630">_xlfn.SWITCH(I630,
"Rob","Robusta",
"Exc","Excelsa",
"Ara","Arabica",
"Lib","Liberica",
"")</f>
        <v>Excelsa</v>
      </c>
      <c r="O630" t="str" cm="1">
        <f t="array" ref="O630">_xlfn.SWITCH(J630,
"M","Medium",
"L","Light",
"D","Dark",
"")</f>
        <v>Light</v>
      </c>
      <c r="P630" t="str">
        <f>_xlfn.XLOOKUP(Orders[[#This Row],[Customer ID]],customers!$A$1:$A$1001,customers!$I$1:$I$1001,,0)</f>
        <v>Yes</v>
      </c>
    </row>
    <row r="631" spans="1:16" x14ac:dyDescent="0.35">
      <c r="A631" s="2" t="s">
        <v>4035</v>
      </c>
      <c r="B631" s="4">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_xlfn.XLOOKUP(D631,products!$A$1:$A$49,products!$B$1:$B$49,,0)</f>
        <v>Lib</v>
      </c>
      <c r="J631" t="str">
        <f>_xlfn.XLOOKUP(D631,products!$A$1:$A$49,products!$C$1:$C$49,,0)</f>
        <v>D</v>
      </c>
      <c r="K631" s="7">
        <f>_xlfn.XLOOKUP(D631,products!$A$1:$A$49,products!$D$1:$D$49,,0)</f>
        <v>0.5</v>
      </c>
      <c r="L631" s="9">
        <f>_xlfn.XLOOKUP(D631,products!$A$1:$A$49,products!$E$1:$E$49,,0)</f>
        <v>7.77</v>
      </c>
      <c r="M631" s="9">
        <f t="shared" si="9"/>
        <v>31.08</v>
      </c>
      <c r="N631" s="3" t="str" cm="1">
        <f t="array" ref="N631">_xlfn.SWITCH(I631,
"Rob","Robusta",
"Exc","Excelsa",
"Ara","Arabica",
"Lib","Liberica",
"")</f>
        <v>Liberica</v>
      </c>
      <c r="O631" t="str" cm="1">
        <f t="array" ref="O631">_xlfn.SWITCH(J631,
"M","Medium",
"L","Light",
"D","Dark",
"")</f>
        <v>Dark</v>
      </c>
      <c r="P631" t="str">
        <f>_xlfn.XLOOKUP(Orders[[#This Row],[Customer ID]],customers!$A$1:$A$1001,customers!$I$1:$I$1001,,0)</f>
        <v>Yes</v>
      </c>
    </row>
    <row r="632" spans="1:16" x14ac:dyDescent="0.35">
      <c r="A632" s="2" t="s">
        <v>4035</v>
      </c>
      <c r="B632" s="4">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_xlfn.XLOOKUP(D632,products!$A$1:$A$49,products!$B$1:$B$49,,0)</f>
        <v>Ara</v>
      </c>
      <c r="J632" t="str">
        <f>_xlfn.XLOOKUP(D632,products!$A$1:$A$49,products!$C$1:$C$49,,0)</f>
        <v>D</v>
      </c>
      <c r="K632" s="7">
        <f>_xlfn.XLOOKUP(D632,products!$A$1:$A$49,products!$D$1:$D$49,,0)</f>
        <v>0.2</v>
      </c>
      <c r="L632" s="9">
        <f>_xlfn.XLOOKUP(D632,products!$A$1:$A$49,products!$E$1:$E$49,,0)</f>
        <v>2.9849999999999999</v>
      </c>
      <c r="M632" s="9">
        <f t="shared" si="9"/>
        <v>2.9849999999999999</v>
      </c>
      <c r="N632" s="3" t="str" cm="1">
        <f t="array" ref="N632">_xlfn.SWITCH(I632,
"Rob","Robusta",
"Exc","Excelsa",
"Ara","Arabica",
"Lib","Liberica",
"")</f>
        <v>Arabica</v>
      </c>
      <c r="O632" t="str" cm="1">
        <f t="array" ref="O632">_xlfn.SWITCH(J632,
"M","Medium",
"L","Light",
"D","Dark",
"")</f>
        <v>Dark</v>
      </c>
      <c r="P632" t="str">
        <f>_xlfn.XLOOKUP(Orders[[#This Row],[Customer ID]],customers!$A$1:$A$1001,customers!$I$1:$I$1001,,0)</f>
        <v>Yes</v>
      </c>
    </row>
    <row r="633" spans="1:16" x14ac:dyDescent="0.35">
      <c r="A633" s="2" t="s">
        <v>4035</v>
      </c>
      <c r="B633" s="4">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_xlfn.XLOOKUP(D633,products!$A$1:$A$49,products!$B$1:$B$49,,0)</f>
        <v>Rob</v>
      </c>
      <c r="J633" t="str">
        <f>_xlfn.XLOOKUP(D633,products!$A$1:$A$49,products!$C$1:$C$49,,0)</f>
        <v>D</v>
      </c>
      <c r="K633" s="7">
        <f>_xlfn.XLOOKUP(D633,products!$A$1:$A$49,products!$D$1:$D$49,,0)</f>
        <v>2.5</v>
      </c>
      <c r="L633" s="9">
        <f>_xlfn.XLOOKUP(D633,products!$A$1:$A$49,products!$E$1:$E$49,,0)</f>
        <v>20.584999999999997</v>
      </c>
      <c r="M633" s="9">
        <f t="shared" si="9"/>
        <v>102.92499999999998</v>
      </c>
      <c r="N633" s="3" t="str" cm="1">
        <f t="array" ref="N633">_xlfn.SWITCH(I633,
"Rob","Robusta",
"Exc","Excelsa",
"Ara","Arabica",
"Lib","Liberica",
"")</f>
        <v>Robusta</v>
      </c>
      <c r="O633" t="str" cm="1">
        <f t="array" ref="O633">_xlfn.SWITCH(J633,
"M","Medium",
"L","Light",
"D","Dark",
"")</f>
        <v>Dark</v>
      </c>
      <c r="P633" t="str">
        <f>_xlfn.XLOOKUP(Orders[[#This Row],[Customer ID]],customers!$A$1:$A$1001,customers!$I$1:$I$1001,,0)</f>
        <v>Yes</v>
      </c>
    </row>
    <row r="634" spans="1:16" x14ac:dyDescent="0.35">
      <c r="A634" s="2" t="s">
        <v>4056</v>
      </c>
      <c r="B634" s="4">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_xlfn.XLOOKUP(D634,products!$A$1:$A$49,products!$B$1:$B$49,,0)</f>
        <v>Exc</v>
      </c>
      <c r="J634" t="str">
        <f>_xlfn.XLOOKUP(D634,products!$A$1:$A$49,products!$C$1:$C$49,,0)</f>
        <v>L</v>
      </c>
      <c r="K634" s="7">
        <f>_xlfn.XLOOKUP(D634,products!$A$1:$A$49,products!$D$1:$D$49,,0)</f>
        <v>0.5</v>
      </c>
      <c r="L634" s="9">
        <f>_xlfn.XLOOKUP(D634,products!$A$1:$A$49,products!$E$1:$E$49,,0)</f>
        <v>8.91</v>
      </c>
      <c r="M634" s="9">
        <f t="shared" si="9"/>
        <v>35.64</v>
      </c>
      <c r="N634" s="3" t="str" cm="1">
        <f t="array" ref="N634">_xlfn.SWITCH(I634,
"Rob","Robusta",
"Exc","Excelsa",
"Ara","Arabica",
"Lib","Liberica",
"")</f>
        <v>Excelsa</v>
      </c>
      <c r="O634" t="str" cm="1">
        <f t="array" ref="O634">_xlfn.SWITCH(J634,
"M","Medium",
"L","Light",
"D","Dark",
"")</f>
        <v>Light</v>
      </c>
      <c r="P634" t="str">
        <f>_xlfn.XLOOKUP(Orders[[#This Row],[Customer ID]],customers!$A$1:$A$1001,customers!$I$1:$I$1001,,0)</f>
        <v>No</v>
      </c>
    </row>
    <row r="635" spans="1:16" x14ac:dyDescent="0.35">
      <c r="A635" s="2" t="s">
        <v>4062</v>
      </c>
      <c r="B635" s="4">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_xlfn.XLOOKUP(D635,products!$A$1:$A$49,products!$B$1:$B$49,,0)</f>
        <v>Rob</v>
      </c>
      <c r="J635" t="str">
        <f>_xlfn.XLOOKUP(D635,products!$A$1:$A$49,products!$C$1:$C$49,,0)</f>
        <v>L</v>
      </c>
      <c r="K635" s="7">
        <f>_xlfn.XLOOKUP(D635,products!$A$1:$A$49,products!$D$1:$D$49,,0)</f>
        <v>1</v>
      </c>
      <c r="L635" s="9">
        <f>_xlfn.XLOOKUP(D635,products!$A$1:$A$49,products!$E$1:$E$49,,0)</f>
        <v>11.95</v>
      </c>
      <c r="M635" s="9">
        <f t="shared" si="9"/>
        <v>47.8</v>
      </c>
      <c r="N635" s="3" t="str" cm="1">
        <f t="array" ref="N635">_xlfn.SWITCH(I635,
"Rob","Robusta",
"Exc","Excelsa",
"Ara","Arabica",
"Lib","Liberica",
"")</f>
        <v>Robusta</v>
      </c>
      <c r="O635" t="str" cm="1">
        <f t="array" ref="O635">_xlfn.SWITCH(J635,
"M","Medium",
"L","Light",
"D","Dark",
"")</f>
        <v>Light</v>
      </c>
      <c r="P635" t="str">
        <f>_xlfn.XLOOKUP(Orders[[#This Row],[Customer ID]],customers!$A$1:$A$1001,customers!$I$1:$I$1001,,0)</f>
        <v>No</v>
      </c>
    </row>
    <row r="636" spans="1:16" x14ac:dyDescent="0.35">
      <c r="A636" s="2" t="s">
        <v>4068</v>
      </c>
      <c r="B636" s="4">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_xlfn.XLOOKUP(D636,products!$A$1:$A$49,products!$B$1:$B$49,,0)</f>
        <v>Lib</v>
      </c>
      <c r="J636" t="str">
        <f>_xlfn.XLOOKUP(D636,products!$A$1:$A$49,products!$C$1:$C$49,,0)</f>
        <v>M</v>
      </c>
      <c r="K636" s="7">
        <f>_xlfn.XLOOKUP(D636,products!$A$1:$A$49,products!$D$1:$D$49,,0)</f>
        <v>1</v>
      </c>
      <c r="L636" s="9">
        <f>_xlfn.XLOOKUP(D636,products!$A$1:$A$49,products!$E$1:$E$49,,0)</f>
        <v>14.55</v>
      </c>
      <c r="M636" s="9">
        <f t="shared" si="9"/>
        <v>43.650000000000006</v>
      </c>
      <c r="N636" s="3" t="str" cm="1">
        <f t="array" ref="N636">_xlfn.SWITCH(I636,
"Rob","Robusta",
"Exc","Excelsa",
"Ara","Arabica",
"Lib","Liberica",
"")</f>
        <v>Liberica</v>
      </c>
      <c r="O636" t="str" cm="1">
        <f t="array" ref="O636">_xlfn.SWITCH(J636,
"M","Medium",
"L","Light",
"D","Dark",
"")</f>
        <v>Medium</v>
      </c>
      <c r="P636" t="str">
        <f>_xlfn.XLOOKUP(Orders[[#This Row],[Customer ID]],customers!$A$1:$A$1001,customers!$I$1:$I$1001,,0)</f>
        <v>No</v>
      </c>
    </row>
    <row r="637" spans="1:16" x14ac:dyDescent="0.35">
      <c r="A637" s="2" t="s">
        <v>4074</v>
      </c>
      <c r="B637" s="4">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_xlfn.XLOOKUP(D637,products!$A$1:$A$49,products!$B$1:$B$49,,0)</f>
        <v>Exc</v>
      </c>
      <c r="J637" t="str">
        <f>_xlfn.XLOOKUP(D637,products!$A$1:$A$49,products!$C$1:$C$49,,0)</f>
        <v>L</v>
      </c>
      <c r="K637" s="7">
        <f>_xlfn.XLOOKUP(D637,products!$A$1:$A$49,products!$D$1:$D$49,,0)</f>
        <v>0.5</v>
      </c>
      <c r="L637" s="9">
        <f>_xlfn.XLOOKUP(D637,products!$A$1:$A$49,products!$E$1:$E$49,,0)</f>
        <v>8.91</v>
      </c>
      <c r="M637" s="9">
        <f t="shared" si="9"/>
        <v>35.64</v>
      </c>
      <c r="N637" s="3" t="str" cm="1">
        <f t="array" ref="N637">_xlfn.SWITCH(I637,
"Rob","Robusta",
"Exc","Excelsa",
"Ara","Arabica",
"Lib","Liberica",
"")</f>
        <v>Excelsa</v>
      </c>
      <c r="O637" t="str" cm="1">
        <f t="array" ref="O637">_xlfn.SWITCH(J637,
"M","Medium",
"L","Light",
"D","Dark",
"")</f>
        <v>Light</v>
      </c>
      <c r="P637" t="str">
        <f>_xlfn.XLOOKUP(Orders[[#This Row],[Customer ID]],customers!$A$1:$A$1001,customers!$I$1:$I$1001,,0)</f>
        <v>Yes</v>
      </c>
    </row>
    <row r="638" spans="1:16" x14ac:dyDescent="0.35">
      <c r="A638" s="2" t="s">
        <v>4080</v>
      </c>
      <c r="B638" s="4">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_xlfn.XLOOKUP(D638,products!$A$1:$A$49,products!$B$1:$B$49,,0)</f>
        <v>Lib</v>
      </c>
      <c r="J638" t="str">
        <f>_xlfn.XLOOKUP(D638,products!$A$1:$A$49,products!$C$1:$C$49,,0)</f>
        <v>L</v>
      </c>
      <c r="K638" s="7">
        <f>_xlfn.XLOOKUP(D638,products!$A$1:$A$49,products!$D$1:$D$49,,0)</f>
        <v>1</v>
      </c>
      <c r="L638" s="9">
        <f>_xlfn.XLOOKUP(D638,products!$A$1:$A$49,products!$E$1:$E$49,,0)</f>
        <v>15.85</v>
      </c>
      <c r="M638" s="9">
        <f t="shared" si="9"/>
        <v>95.1</v>
      </c>
      <c r="N638" s="3" t="str" cm="1">
        <f t="array" ref="N638">_xlfn.SWITCH(I638,
"Rob","Robusta",
"Exc","Excelsa",
"Ara","Arabica",
"Lib","Liberica",
"")</f>
        <v>Liberica</v>
      </c>
      <c r="O638" t="str" cm="1">
        <f t="array" ref="O638">_xlfn.SWITCH(J638,
"M","Medium",
"L","Light",
"D","Dark",
"")</f>
        <v>Light</v>
      </c>
      <c r="P638" t="str">
        <f>_xlfn.XLOOKUP(Orders[[#This Row],[Customer ID]],customers!$A$1:$A$1001,customers!$I$1:$I$1001,,0)</f>
        <v>Yes</v>
      </c>
    </row>
    <row r="639" spans="1:16" x14ac:dyDescent="0.35">
      <c r="A639" s="2" t="s">
        <v>4086</v>
      </c>
      <c r="B639" s="4">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_xlfn.XLOOKUP(D639,products!$A$1:$A$49,products!$B$1:$B$49,,0)</f>
        <v>Exc</v>
      </c>
      <c r="J639" t="str">
        <f>_xlfn.XLOOKUP(D639,products!$A$1:$A$49,products!$C$1:$C$49,,0)</f>
        <v>M</v>
      </c>
      <c r="K639" s="7">
        <f>_xlfn.XLOOKUP(D639,products!$A$1:$A$49,products!$D$1:$D$49,,0)</f>
        <v>2.5</v>
      </c>
      <c r="L639" s="9">
        <f>_xlfn.XLOOKUP(D639,products!$A$1:$A$49,products!$E$1:$E$49,,0)</f>
        <v>31.624999999999996</v>
      </c>
      <c r="M639" s="9">
        <f t="shared" si="9"/>
        <v>31.624999999999996</v>
      </c>
      <c r="N639" s="3" t="str" cm="1">
        <f t="array" ref="N639">_xlfn.SWITCH(I639,
"Rob","Robusta",
"Exc","Excelsa",
"Ara","Arabica",
"Lib","Liberica",
"")</f>
        <v>Excelsa</v>
      </c>
      <c r="O639" t="str" cm="1">
        <f t="array" ref="O639">_xlfn.SWITCH(J639,
"M","Medium",
"L","Light",
"D","Dark",
"")</f>
        <v>Medium</v>
      </c>
      <c r="P639" t="str">
        <f>_xlfn.XLOOKUP(Orders[[#This Row],[Customer ID]],customers!$A$1:$A$1001,customers!$I$1:$I$1001,,0)</f>
        <v>Yes</v>
      </c>
    </row>
    <row r="640" spans="1:16" x14ac:dyDescent="0.35">
      <c r="A640" s="2" t="s">
        <v>4093</v>
      </c>
      <c r="B640" s="4">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_xlfn.XLOOKUP(D640,products!$A$1:$A$49,products!$B$1:$B$49,,0)</f>
        <v>Ara</v>
      </c>
      <c r="J640" t="str">
        <f>_xlfn.XLOOKUP(D640,products!$A$1:$A$49,products!$C$1:$C$49,,0)</f>
        <v>M</v>
      </c>
      <c r="K640" s="7">
        <f>_xlfn.XLOOKUP(D640,products!$A$1:$A$49,products!$D$1:$D$49,,0)</f>
        <v>2.5</v>
      </c>
      <c r="L640" s="9">
        <f>_xlfn.XLOOKUP(D640,products!$A$1:$A$49,products!$E$1:$E$49,,0)</f>
        <v>25.874999999999996</v>
      </c>
      <c r="M640" s="9">
        <f t="shared" si="9"/>
        <v>77.624999999999986</v>
      </c>
      <c r="N640" s="3" t="str" cm="1">
        <f t="array" ref="N640">_xlfn.SWITCH(I640,
"Rob","Robusta",
"Exc","Excelsa",
"Ara","Arabica",
"Lib","Liberica",
"")</f>
        <v>Arabica</v>
      </c>
      <c r="O640" t="str" cm="1">
        <f t="array" ref="O640">_xlfn.SWITCH(J640,
"M","Medium",
"L","Light",
"D","Dark",
"")</f>
        <v>Medium</v>
      </c>
      <c r="P640" t="str">
        <f>_xlfn.XLOOKUP(Orders[[#This Row],[Customer ID]],customers!$A$1:$A$1001,customers!$I$1:$I$1001,,0)</f>
        <v>Yes</v>
      </c>
    </row>
    <row r="641" spans="1:16" x14ac:dyDescent="0.35">
      <c r="A641" s="2" t="s">
        <v>4098</v>
      </c>
      <c r="B641" s="4">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_xlfn.XLOOKUP(D641,products!$A$1:$A$49,products!$B$1:$B$49,,0)</f>
        <v>Lib</v>
      </c>
      <c r="J641" t="str">
        <f>_xlfn.XLOOKUP(D641,products!$A$1:$A$49,products!$C$1:$C$49,,0)</f>
        <v>D</v>
      </c>
      <c r="K641" s="7">
        <f>_xlfn.XLOOKUP(D641,products!$A$1:$A$49,products!$D$1:$D$49,,0)</f>
        <v>0.2</v>
      </c>
      <c r="L641" s="9">
        <f>_xlfn.XLOOKUP(D641,products!$A$1:$A$49,products!$E$1:$E$49,,0)</f>
        <v>3.8849999999999998</v>
      </c>
      <c r="M641" s="9">
        <f t="shared" si="9"/>
        <v>3.8849999999999998</v>
      </c>
      <c r="N641" s="3" t="str" cm="1">
        <f t="array" ref="N641">_xlfn.SWITCH(I641,
"Rob","Robusta",
"Exc","Excelsa",
"Ara","Arabica",
"Lib","Liberica",
"")</f>
        <v>Liberica</v>
      </c>
      <c r="O641" t="str" cm="1">
        <f t="array" ref="O641">_xlfn.SWITCH(J641,
"M","Medium",
"L","Light",
"D","Dark",
"")</f>
        <v>Dark</v>
      </c>
      <c r="P641" t="str">
        <f>_xlfn.XLOOKUP(Orders[[#This Row],[Customer ID]],customers!$A$1:$A$1001,customers!$I$1:$I$1001,,0)</f>
        <v>Yes</v>
      </c>
    </row>
    <row r="642" spans="1:16" x14ac:dyDescent="0.35">
      <c r="A642" s="2" t="s">
        <v>4104</v>
      </c>
      <c r="B642" s="4">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_xlfn.XLOOKUP(D642,products!$A$1:$A$49,products!$B$1:$B$49,,0)</f>
        <v>Rob</v>
      </c>
      <c r="J642" t="str">
        <f>_xlfn.XLOOKUP(D642,products!$A$1:$A$49,products!$C$1:$C$49,,0)</f>
        <v>L</v>
      </c>
      <c r="K642" s="7">
        <f>_xlfn.XLOOKUP(D642,products!$A$1:$A$49,products!$D$1:$D$49,,0)</f>
        <v>2.5</v>
      </c>
      <c r="L642" s="9">
        <f>_xlfn.XLOOKUP(D642,products!$A$1:$A$49,products!$E$1:$E$49,,0)</f>
        <v>27.484999999999996</v>
      </c>
      <c r="M642" s="9">
        <f t="shared" si="9"/>
        <v>137.42499999999998</v>
      </c>
      <c r="N642" s="3" t="str" cm="1">
        <f t="array" ref="N642">_xlfn.SWITCH(I642,
"Rob","Robusta",
"Exc","Excelsa",
"Ara","Arabica",
"Lib","Liberica",
"")</f>
        <v>Robusta</v>
      </c>
      <c r="O642" t="str" cm="1">
        <f t="array" ref="O642">_xlfn.SWITCH(J642,
"M","Medium",
"L","Light",
"D","Dark",
"")</f>
        <v>Light</v>
      </c>
      <c r="P642" t="str">
        <f>_xlfn.XLOOKUP(Orders[[#This Row],[Customer ID]],customers!$A$1:$A$1001,customers!$I$1:$I$1001,,0)</f>
        <v>No</v>
      </c>
    </row>
    <row r="643" spans="1:16" x14ac:dyDescent="0.35">
      <c r="A643" s="2" t="s">
        <v>4109</v>
      </c>
      <c r="B643" s="4">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_xlfn.XLOOKUP(D643,products!$A$1:$A$49,products!$B$1:$B$49,,0)</f>
        <v>Rob</v>
      </c>
      <c r="J643" t="str">
        <f>_xlfn.XLOOKUP(D643,products!$A$1:$A$49,products!$C$1:$C$49,,0)</f>
        <v>L</v>
      </c>
      <c r="K643" s="7">
        <f>_xlfn.XLOOKUP(D643,products!$A$1:$A$49,products!$D$1:$D$49,,0)</f>
        <v>1</v>
      </c>
      <c r="L643" s="9">
        <f>_xlfn.XLOOKUP(D643,products!$A$1:$A$49,products!$E$1:$E$49,,0)</f>
        <v>11.95</v>
      </c>
      <c r="M643" s="9">
        <f t="shared" ref="M643:M706" si="10">L643*E643</f>
        <v>35.849999999999994</v>
      </c>
      <c r="N643" s="3" t="str" cm="1">
        <f t="array" ref="N643">_xlfn.SWITCH(I643,
"Rob","Robusta",
"Exc","Excelsa",
"Ara","Arabica",
"Lib","Liberica",
"")</f>
        <v>Robusta</v>
      </c>
      <c r="O643" t="str" cm="1">
        <f t="array" ref="O643">_xlfn.SWITCH(J643,
"M","Medium",
"L","Light",
"D","Dark",
"")</f>
        <v>Light</v>
      </c>
      <c r="P643" t="str">
        <f>_xlfn.XLOOKUP(Orders[[#This Row],[Customer ID]],customers!$A$1:$A$1001,customers!$I$1:$I$1001,,0)</f>
        <v>Yes</v>
      </c>
    </row>
    <row r="644" spans="1:16" x14ac:dyDescent="0.35">
      <c r="A644" s="2" t="s">
        <v>4115</v>
      </c>
      <c r="B644" s="4">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_xlfn.XLOOKUP(D644,products!$A$1:$A$49,products!$B$1:$B$49,,0)</f>
        <v>Exc</v>
      </c>
      <c r="J644" t="str">
        <f>_xlfn.XLOOKUP(D644,products!$A$1:$A$49,products!$C$1:$C$49,,0)</f>
        <v>M</v>
      </c>
      <c r="K644" s="7">
        <f>_xlfn.XLOOKUP(D644,products!$A$1:$A$49,products!$D$1:$D$49,,0)</f>
        <v>0.2</v>
      </c>
      <c r="L644" s="9">
        <f>_xlfn.XLOOKUP(D644,products!$A$1:$A$49,products!$E$1:$E$49,,0)</f>
        <v>4.125</v>
      </c>
      <c r="M644" s="9">
        <f t="shared" si="10"/>
        <v>8.25</v>
      </c>
      <c r="N644" s="3" t="str" cm="1">
        <f t="array" ref="N644">_xlfn.SWITCH(I644,
"Rob","Robusta",
"Exc","Excelsa",
"Ara","Arabica",
"Lib","Liberica",
"")</f>
        <v>Excelsa</v>
      </c>
      <c r="O644" t="str" cm="1">
        <f t="array" ref="O644">_xlfn.SWITCH(J644,
"M","Medium",
"L","Light",
"D","Dark",
"")</f>
        <v>Medium</v>
      </c>
      <c r="P644" t="str">
        <f>_xlfn.XLOOKUP(Orders[[#This Row],[Customer ID]],customers!$A$1:$A$1001,customers!$I$1:$I$1001,,0)</f>
        <v>Yes</v>
      </c>
    </row>
    <row r="645" spans="1:16" x14ac:dyDescent="0.35">
      <c r="A645" s="2" t="s">
        <v>4123</v>
      </c>
      <c r="B645" s="4">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_xlfn.XLOOKUP(D645,products!$A$1:$A$49,products!$B$1:$B$49,,0)</f>
        <v>Exc</v>
      </c>
      <c r="J645" t="str">
        <f>_xlfn.XLOOKUP(D645,products!$A$1:$A$49,products!$C$1:$C$49,,0)</f>
        <v>L</v>
      </c>
      <c r="K645" s="7">
        <f>_xlfn.XLOOKUP(D645,products!$A$1:$A$49,products!$D$1:$D$49,,0)</f>
        <v>2.5</v>
      </c>
      <c r="L645" s="9">
        <f>_xlfn.XLOOKUP(D645,products!$A$1:$A$49,products!$E$1:$E$49,,0)</f>
        <v>34.154999999999994</v>
      </c>
      <c r="M645" s="9">
        <f t="shared" si="10"/>
        <v>102.46499999999997</v>
      </c>
      <c r="N645" s="3" t="str" cm="1">
        <f t="array" ref="N645">_xlfn.SWITCH(I645,
"Rob","Robusta",
"Exc","Excelsa",
"Ara","Arabica",
"Lib","Liberica",
"")</f>
        <v>Excelsa</v>
      </c>
      <c r="O645" t="str" cm="1">
        <f t="array" ref="O645">_xlfn.SWITCH(J645,
"M","Medium",
"L","Light",
"D","Dark",
"")</f>
        <v>Light</v>
      </c>
      <c r="P645" t="str">
        <f>_xlfn.XLOOKUP(Orders[[#This Row],[Customer ID]],customers!$A$1:$A$1001,customers!$I$1:$I$1001,,0)</f>
        <v>Yes</v>
      </c>
    </row>
    <row r="646" spans="1:16" x14ac:dyDescent="0.35">
      <c r="A646" s="2" t="s">
        <v>4128</v>
      </c>
      <c r="B646" s="4">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_xlfn.XLOOKUP(D646,products!$A$1:$A$49,products!$B$1:$B$49,,0)</f>
        <v>Rob</v>
      </c>
      <c r="J646" t="str">
        <f>_xlfn.XLOOKUP(D646,products!$A$1:$A$49,products!$C$1:$C$49,,0)</f>
        <v>D</v>
      </c>
      <c r="K646" s="7">
        <f>_xlfn.XLOOKUP(D646,products!$A$1:$A$49,products!$D$1:$D$49,,0)</f>
        <v>2.5</v>
      </c>
      <c r="L646" s="9">
        <f>_xlfn.XLOOKUP(D646,products!$A$1:$A$49,products!$E$1:$E$49,,0)</f>
        <v>20.584999999999997</v>
      </c>
      <c r="M646" s="9">
        <f t="shared" si="10"/>
        <v>41.169999999999995</v>
      </c>
      <c r="N646" s="3" t="str" cm="1">
        <f t="array" ref="N646">_xlfn.SWITCH(I646,
"Rob","Robusta",
"Exc","Excelsa",
"Ara","Arabica",
"Lib","Liberica",
"")</f>
        <v>Robusta</v>
      </c>
      <c r="O646" t="str" cm="1">
        <f t="array" ref="O646">_xlfn.SWITCH(J646,
"M","Medium",
"L","Light",
"D","Dark",
"")</f>
        <v>Dark</v>
      </c>
      <c r="P646" t="str">
        <f>_xlfn.XLOOKUP(Orders[[#This Row],[Customer ID]],customers!$A$1:$A$1001,customers!$I$1:$I$1001,,0)</f>
        <v>No</v>
      </c>
    </row>
    <row r="647" spans="1:16" x14ac:dyDescent="0.35">
      <c r="A647" s="2" t="s">
        <v>4133</v>
      </c>
      <c r="B647" s="4">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_xlfn.XLOOKUP(D647,products!$A$1:$A$49,products!$B$1:$B$49,,0)</f>
        <v>Ara</v>
      </c>
      <c r="J647" t="str">
        <f>_xlfn.XLOOKUP(D647,products!$A$1:$A$49,products!$C$1:$C$49,,0)</f>
        <v>D</v>
      </c>
      <c r="K647" s="7">
        <f>_xlfn.XLOOKUP(D647,products!$A$1:$A$49,products!$D$1:$D$49,,0)</f>
        <v>2.5</v>
      </c>
      <c r="L647" s="9">
        <f>_xlfn.XLOOKUP(D647,products!$A$1:$A$49,products!$E$1:$E$49,,0)</f>
        <v>22.884999999999998</v>
      </c>
      <c r="M647" s="9">
        <f t="shared" si="10"/>
        <v>68.655000000000001</v>
      </c>
      <c r="N647" s="3" t="str" cm="1">
        <f t="array" ref="N647">_xlfn.SWITCH(I647,
"Rob","Robusta",
"Exc","Excelsa",
"Ara","Arabica",
"Lib","Liberica",
"")</f>
        <v>Arabica</v>
      </c>
      <c r="O647" t="str" cm="1">
        <f t="array" ref="O647">_xlfn.SWITCH(J647,
"M","Medium",
"L","Light",
"D","Dark",
"")</f>
        <v>Dark</v>
      </c>
      <c r="P647" t="str">
        <f>_xlfn.XLOOKUP(Orders[[#This Row],[Customer ID]],customers!$A$1:$A$1001,customers!$I$1:$I$1001,,0)</f>
        <v>Yes</v>
      </c>
    </row>
    <row r="648" spans="1:16" x14ac:dyDescent="0.35">
      <c r="A648" s="2" t="s">
        <v>4139</v>
      </c>
      <c r="B648" s="4">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_xlfn.XLOOKUP(D648,products!$A$1:$A$49,products!$B$1:$B$49,,0)</f>
        <v>Ara</v>
      </c>
      <c r="J648" t="str">
        <f>_xlfn.XLOOKUP(D648,products!$A$1:$A$49,products!$C$1:$C$49,,0)</f>
        <v>D</v>
      </c>
      <c r="K648" s="7">
        <f>_xlfn.XLOOKUP(D648,products!$A$1:$A$49,products!$D$1:$D$49,,0)</f>
        <v>1</v>
      </c>
      <c r="L648" s="9">
        <f>_xlfn.XLOOKUP(D648,products!$A$1:$A$49,products!$E$1:$E$49,,0)</f>
        <v>9.9499999999999993</v>
      </c>
      <c r="M648" s="9">
        <f t="shared" si="10"/>
        <v>9.9499999999999993</v>
      </c>
      <c r="N648" s="3" t="str" cm="1">
        <f t="array" ref="N648">_xlfn.SWITCH(I648,
"Rob","Robusta",
"Exc","Excelsa",
"Ara","Arabica",
"Lib","Liberica",
"")</f>
        <v>Arabica</v>
      </c>
      <c r="O648" t="str" cm="1">
        <f t="array" ref="O648">_xlfn.SWITCH(J648,
"M","Medium",
"L","Light",
"D","Dark",
"")</f>
        <v>Dark</v>
      </c>
      <c r="P648" t="str">
        <f>_xlfn.XLOOKUP(Orders[[#This Row],[Customer ID]],customers!$A$1:$A$1001,customers!$I$1:$I$1001,,0)</f>
        <v>Yes</v>
      </c>
    </row>
    <row r="649" spans="1:16" x14ac:dyDescent="0.35">
      <c r="A649" s="2" t="s">
        <v>4145</v>
      </c>
      <c r="B649" s="4">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_xlfn.XLOOKUP(D649,products!$A$1:$A$49,products!$B$1:$B$49,,0)</f>
        <v>Lib</v>
      </c>
      <c r="J649" t="str">
        <f>_xlfn.XLOOKUP(D649,products!$A$1:$A$49,products!$C$1:$C$49,,0)</f>
        <v>L</v>
      </c>
      <c r="K649" s="7">
        <f>_xlfn.XLOOKUP(D649,products!$A$1:$A$49,products!$D$1:$D$49,,0)</f>
        <v>0.5</v>
      </c>
      <c r="L649" s="9">
        <f>_xlfn.XLOOKUP(D649,products!$A$1:$A$49,products!$E$1:$E$49,,0)</f>
        <v>9.51</v>
      </c>
      <c r="M649" s="9">
        <f t="shared" si="10"/>
        <v>28.53</v>
      </c>
      <c r="N649" s="3" t="str" cm="1">
        <f t="array" ref="N649">_xlfn.SWITCH(I649,
"Rob","Robusta",
"Exc","Excelsa",
"Ara","Arabica",
"Lib","Liberica",
"")</f>
        <v>Liberica</v>
      </c>
      <c r="O649" t="str" cm="1">
        <f t="array" ref="O649">_xlfn.SWITCH(J649,
"M","Medium",
"L","Light",
"D","Dark",
"")</f>
        <v>Light</v>
      </c>
      <c r="P649" t="str">
        <f>_xlfn.XLOOKUP(Orders[[#This Row],[Customer ID]],customers!$A$1:$A$1001,customers!$I$1:$I$1001,,0)</f>
        <v>Yes</v>
      </c>
    </row>
    <row r="650" spans="1:16" x14ac:dyDescent="0.35">
      <c r="A650" s="2" t="s">
        <v>4151</v>
      </c>
      <c r="B650" s="4">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_xlfn.XLOOKUP(D650,products!$A$1:$A$49,products!$B$1:$B$49,,0)</f>
        <v>Rob</v>
      </c>
      <c r="J650" t="str">
        <f>_xlfn.XLOOKUP(D650,products!$A$1:$A$49,products!$C$1:$C$49,,0)</f>
        <v>D</v>
      </c>
      <c r="K650" s="7">
        <f>_xlfn.XLOOKUP(D650,products!$A$1:$A$49,products!$D$1:$D$49,,0)</f>
        <v>0.2</v>
      </c>
      <c r="L650" s="9">
        <f>_xlfn.XLOOKUP(D650,products!$A$1:$A$49,products!$E$1:$E$49,,0)</f>
        <v>2.6849999999999996</v>
      </c>
      <c r="M650" s="9">
        <f t="shared" si="10"/>
        <v>16.11</v>
      </c>
      <c r="N650" s="3" t="str" cm="1">
        <f t="array" ref="N650">_xlfn.SWITCH(I650,
"Rob","Robusta",
"Exc","Excelsa",
"Ara","Arabica",
"Lib","Liberica",
"")</f>
        <v>Robusta</v>
      </c>
      <c r="O650" t="str" cm="1">
        <f t="array" ref="O650">_xlfn.SWITCH(J650,
"M","Medium",
"L","Light",
"D","Dark",
"")</f>
        <v>Dark</v>
      </c>
      <c r="P650" t="str">
        <f>_xlfn.XLOOKUP(Orders[[#This Row],[Customer ID]],customers!$A$1:$A$1001,customers!$I$1:$I$1001,,0)</f>
        <v>No</v>
      </c>
    </row>
    <row r="651" spans="1:16" x14ac:dyDescent="0.35">
      <c r="A651" s="2" t="s">
        <v>4157</v>
      </c>
      <c r="B651" s="4">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_xlfn.XLOOKUP(D651,products!$A$1:$A$49,products!$B$1:$B$49,,0)</f>
        <v>Lib</v>
      </c>
      <c r="J651" t="str">
        <f>_xlfn.XLOOKUP(D651,products!$A$1:$A$49,products!$C$1:$C$49,,0)</f>
        <v>L</v>
      </c>
      <c r="K651" s="7">
        <f>_xlfn.XLOOKUP(D651,products!$A$1:$A$49,products!$D$1:$D$49,,0)</f>
        <v>1</v>
      </c>
      <c r="L651" s="9">
        <f>_xlfn.XLOOKUP(D651,products!$A$1:$A$49,products!$E$1:$E$49,,0)</f>
        <v>15.85</v>
      </c>
      <c r="M651" s="9">
        <f t="shared" si="10"/>
        <v>95.1</v>
      </c>
      <c r="N651" s="3" t="str" cm="1">
        <f t="array" ref="N651">_xlfn.SWITCH(I651,
"Rob","Robusta",
"Exc","Excelsa",
"Ara","Arabica",
"Lib","Liberica",
"")</f>
        <v>Liberica</v>
      </c>
      <c r="O651" t="str" cm="1">
        <f t="array" ref="O651">_xlfn.SWITCH(J651,
"M","Medium",
"L","Light",
"D","Dark",
"")</f>
        <v>Light</v>
      </c>
      <c r="P651" t="str">
        <f>_xlfn.XLOOKUP(Orders[[#This Row],[Customer ID]],customers!$A$1:$A$1001,customers!$I$1:$I$1001,,0)</f>
        <v>No</v>
      </c>
    </row>
    <row r="652" spans="1:16" x14ac:dyDescent="0.35">
      <c r="A652" s="2" t="s">
        <v>4163</v>
      </c>
      <c r="B652" s="4">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_xlfn.XLOOKUP(D652,products!$A$1:$A$49,products!$B$1:$B$49,,0)</f>
        <v>Rob</v>
      </c>
      <c r="J652" t="str">
        <f>_xlfn.XLOOKUP(D652,products!$A$1:$A$49,products!$C$1:$C$49,,0)</f>
        <v>D</v>
      </c>
      <c r="K652" s="7">
        <f>_xlfn.XLOOKUP(D652,products!$A$1:$A$49,products!$D$1:$D$49,,0)</f>
        <v>0.5</v>
      </c>
      <c r="L652" s="9">
        <f>_xlfn.XLOOKUP(D652,products!$A$1:$A$49,products!$E$1:$E$49,,0)</f>
        <v>5.3699999999999992</v>
      </c>
      <c r="M652" s="9">
        <f t="shared" si="10"/>
        <v>5.3699999999999992</v>
      </c>
      <c r="N652" s="3" t="str" cm="1">
        <f t="array" ref="N652">_xlfn.SWITCH(I652,
"Rob","Robusta",
"Exc","Excelsa",
"Ara","Arabica",
"Lib","Liberica",
"")</f>
        <v>Robusta</v>
      </c>
      <c r="O652" t="str" cm="1">
        <f t="array" ref="O652">_xlfn.SWITCH(J652,
"M","Medium",
"L","Light",
"D","Dark",
"")</f>
        <v>Dark</v>
      </c>
      <c r="P652" t="str">
        <f>_xlfn.XLOOKUP(Orders[[#This Row],[Customer ID]],customers!$A$1:$A$1001,customers!$I$1:$I$1001,,0)</f>
        <v>Yes</v>
      </c>
    </row>
    <row r="653" spans="1:16" x14ac:dyDescent="0.35">
      <c r="A653" s="2" t="s">
        <v>4169</v>
      </c>
      <c r="B653" s="4">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_xlfn.XLOOKUP(D653,products!$A$1:$A$49,products!$B$1:$B$49,,0)</f>
        <v>Rob</v>
      </c>
      <c r="J653" t="str">
        <f>_xlfn.XLOOKUP(D653,products!$A$1:$A$49,products!$C$1:$C$49,,0)</f>
        <v>L</v>
      </c>
      <c r="K653" s="7">
        <f>_xlfn.XLOOKUP(D653,products!$A$1:$A$49,products!$D$1:$D$49,,0)</f>
        <v>1</v>
      </c>
      <c r="L653" s="9">
        <f>_xlfn.XLOOKUP(D653,products!$A$1:$A$49,products!$E$1:$E$49,,0)</f>
        <v>11.95</v>
      </c>
      <c r="M653" s="9">
        <f t="shared" si="10"/>
        <v>47.8</v>
      </c>
      <c r="N653" s="3" t="str" cm="1">
        <f t="array" ref="N653">_xlfn.SWITCH(I653,
"Rob","Robusta",
"Exc","Excelsa",
"Ara","Arabica",
"Lib","Liberica",
"")</f>
        <v>Robusta</v>
      </c>
      <c r="O653" t="str" cm="1">
        <f t="array" ref="O653">_xlfn.SWITCH(J653,
"M","Medium",
"L","Light",
"D","Dark",
"")</f>
        <v>Light</v>
      </c>
      <c r="P653" t="str">
        <f>_xlfn.XLOOKUP(Orders[[#This Row],[Customer ID]],customers!$A$1:$A$1001,customers!$I$1:$I$1001,,0)</f>
        <v>No</v>
      </c>
    </row>
    <row r="654" spans="1:16" x14ac:dyDescent="0.35">
      <c r="A654" s="2" t="s">
        <v>4174</v>
      </c>
      <c r="B654" s="4">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_xlfn.XLOOKUP(D654,products!$A$1:$A$49,products!$B$1:$B$49,,0)</f>
        <v>Lib</v>
      </c>
      <c r="J654" t="str">
        <f>_xlfn.XLOOKUP(D654,products!$A$1:$A$49,products!$C$1:$C$49,,0)</f>
        <v>L</v>
      </c>
      <c r="K654" s="7">
        <f>_xlfn.XLOOKUP(D654,products!$A$1:$A$49,products!$D$1:$D$49,,0)</f>
        <v>1</v>
      </c>
      <c r="L654" s="9">
        <f>_xlfn.XLOOKUP(D654,products!$A$1:$A$49,products!$E$1:$E$49,,0)</f>
        <v>15.85</v>
      </c>
      <c r="M654" s="9">
        <f t="shared" si="10"/>
        <v>63.4</v>
      </c>
      <c r="N654" s="3" t="str" cm="1">
        <f t="array" ref="N654">_xlfn.SWITCH(I654,
"Rob","Robusta",
"Exc","Excelsa",
"Ara","Arabica",
"Lib","Liberica",
"")</f>
        <v>Liberica</v>
      </c>
      <c r="O654" t="str" cm="1">
        <f t="array" ref="O654">_xlfn.SWITCH(J654,
"M","Medium",
"L","Light",
"D","Dark",
"")</f>
        <v>Light</v>
      </c>
      <c r="P654" t="str">
        <f>_xlfn.XLOOKUP(Orders[[#This Row],[Customer ID]],customers!$A$1:$A$1001,customers!$I$1:$I$1001,,0)</f>
        <v>No</v>
      </c>
    </row>
    <row r="655" spans="1:16" x14ac:dyDescent="0.35">
      <c r="A655" s="2" t="s">
        <v>4179</v>
      </c>
      <c r="B655" s="4">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_xlfn.XLOOKUP(D655,products!$A$1:$A$49,products!$B$1:$B$49,,0)</f>
        <v>Ara</v>
      </c>
      <c r="J655" t="str">
        <f>_xlfn.XLOOKUP(D655,products!$A$1:$A$49,products!$C$1:$C$49,,0)</f>
        <v>M</v>
      </c>
      <c r="K655" s="7">
        <f>_xlfn.XLOOKUP(D655,products!$A$1:$A$49,products!$D$1:$D$49,,0)</f>
        <v>2.5</v>
      </c>
      <c r="L655" s="9">
        <f>_xlfn.XLOOKUP(D655,products!$A$1:$A$49,products!$E$1:$E$49,,0)</f>
        <v>25.874999999999996</v>
      </c>
      <c r="M655" s="9">
        <f t="shared" si="10"/>
        <v>103.49999999999999</v>
      </c>
      <c r="N655" s="3" t="str" cm="1">
        <f t="array" ref="N655">_xlfn.SWITCH(I655,
"Rob","Robusta",
"Exc","Excelsa",
"Ara","Arabica",
"Lib","Liberica",
"")</f>
        <v>Arabica</v>
      </c>
      <c r="O655" t="str" cm="1">
        <f t="array" ref="O655">_xlfn.SWITCH(J655,
"M","Medium",
"L","Light",
"D","Dark",
"")</f>
        <v>Medium</v>
      </c>
      <c r="P655" t="str">
        <f>_xlfn.XLOOKUP(Orders[[#This Row],[Customer ID]],customers!$A$1:$A$1001,customers!$I$1:$I$1001,,0)</f>
        <v>No</v>
      </c>
    </row>
    <row r="656" spans="1:16" x14ac:dyDescent="0.35">
      <c r="A656" s="2" t="s">
        <v>4185</v>
      </c>
      <c r="B656" s="4">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_xlfn.XLOOKUP(D656,products!$A$1:$A$49,products!$B$1:$B$49,,0)</f>
        <v>Ara</v>
      </c>
      <c r="J656" t="str">
        <f>_xlfn.XLOOKUP(D656,products!$A$1:$A$49,products!$C$1:$C$49,,0)</f>
        <v>D</v>
      </c>
      <c r="K656" s="7">
        <f>_xlfn.XLOOKUP(D656,products!$A$1:$A$49,products!$D$1:$D$49,,0)</f>
        <v>2.5</v>
      </c>
      <c r="L656" s="9">
        <f>_xlfn.XLOOKUP(D656,products!$A$1:$A$49,products!$E$1:$E$49,,0)</f>
        <v>22.884999999999998</v>
      </c>
      <c r="M656" s="9">
        <f t="shared" si="10"/>
        <v>68.655000000000001</v>
      </c>
      <c r="N656" s="3" t="str" cm="1">
        <f t="array" ref="N656">_xlfn.SWITCH(I656,
"Rob","Robusta",
"Exc","Excelsa",
"Ara","Arabica",
"Lib","Liberica",
"")</f>
        <v>Arabica</v>
      </c>
      <c r="O656" t="str" cm="1">
        <f t="array" ref="O656">_xlfn.SWITCH(J656,
"M","Medium",
"L","Light",
"D","Dark",
"")</f>
        <v>Dark</v>
      </c>
      <c r="P656" t="str">
        <f>_xlfn.XLOOKUP(Orders[[#This Row],[Customer ID]],customers!$A$1:$A$1001,customers!$I$1:$I$1001,,0)</f>
        <v>No</v>
      </c>
    </row>
    <row r="657" spans="1:16" x14ac:dyDescent="0.35">
      <c r="A657" s="2" t="s">
        <v>4191</v>
      </c>
      <c r="B657" s="4">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_xlfn.XLOOKUP(D657,products!$A$1:$A$49,products!$B$1:$B$49,,0)</f>
        <v>Rob</v>
      </c>
      <c r="J657" t="str">
        <f>_xlfn.XLOOKUP(D657,products!$A$1:$A$49,products!$C$1:$C$49,,0)</f>
        <v>M</v>
      </c>
      <c r="K657" s="7">
        <f>_xlfn.XLOOKUP(D657,products!$A$1:$A$49,products!$D$1:$D$49,,0)</f>
        <v>2.5</v>
      </c>
      <c r="L657" s="9">
        <f>_xlfn.XLOOKUP(D657,products!$A$1:$A$49,products!$E$1:$E$49,,0)</f>
        <v>22.884999999999998</v>
      </c>
      <c r="M657" s="9">
        <f t="shared" si="10"/>
        <v>45.769999999999996</v>
      </c>
      <c r="N657" s="3" t="str" cm="1">
        <f t="array" ref="N657">_xlfn.SWITCH(I657,
"Rob","Robusta",
"Exc","Excelsa",
"Ara","Arabica",
"Lib","Liberica",
"")</f>
        <v>Robusta</v>
      </c>
      <c r="O657" t="str" cm="1">
        <f t="array" ref="O657">_xlfn.SWITCH(J657,
"M","Medium",
"L","Light",
"D","Dark",
"")</f>
        <v>Medium</v>
      </c>
      <c r="P657" t="str">
        <f>_xlfn.XLOOKUP(Orders[[#This Row],[Customer ID]],customers!$A$1:$A$1001,customers!$I$1:$I$1001,,0)</f>
        <v>Yes</v>
      </c>
    </row>
    <row r="658" spans="1:16" x14ac:dyDescent="0.35">
      <c r="A658" s="2" t="s">
        <v>4196</v>
      </c>
      <c r="B658" s="4">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_xlfn.XLOOKUP(D658,products!$A$1:$A$49,products!$B$1:$B$49,,0)</f>
        <v>Lib</v>
      </c>
      <c r="J658" t="str">
        <f>_xlfn.XLOOKUP(D658,products!$A$1:$A$49,products!$C$1:$C$49,,0)</f>
        <v>D</v>
      </c>
      <c r="K658" s="7">
        <f>_xlfn.XLOOKUP(D658,products!$A$1:$A$49,products!$D$1:$D$49,,0)</f>
        <v>1</v>
      </c>
      <c r="L658" s="9">
        <f>_xlfn.XLOOKUP(D658,products!$A$1:$A$49,products!$E$1:$E$49,,0)</f>
        <v>12.95</v>
      </c>
      <c r="M658" s="9">
        <f t="shared" si="10"/>
        <v>51.8</v>
      </c>
      <c r="N658" s="3" t="str" cm="1">
        <f t="array" ref="N658">_xlfn.SWITCH(I658,
"Rob","Robusta",
"Exc","Excelsa",
"Ara","Arabica",
"Lib","Liberica",
"")</f>
        <v>Liberica</v>
      </c>
      <c r="O658" t="str" cm="1">
        <f t="array" ref="O658">_xlfn.SWITCH(J658,
"M","Medium",
"L","Light",
"D","Dark",
"")</f>
        <v>Dark</v>
      </c>
      <c r="P658" t="str">
        <f>_xlfn.XLOOKUP(Orders[[#This Row],[Customer ID]],customers!$A$1:$A$1001,customers!$I$1:$I$1001,,0)</f>
        <v>No</v>
      </c>
    </row>
    <row r="659" spans="1:16" x14ac:dyDescent="0.35">
      <c r="A659" s="2" t="s">
        <v>4201</v>
      </c>
      <c r="B659" s="4">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_xlfn.XLOOKUP(D659,products!$A$1:$A$49,products!$B$1:$B$49,,0)</f>
        <v>Ara</v>
      </c>
      <c r="J659" t="str">
        <f>_xlfn.XLOOKUP(D659,products!$A$1:$A$49,products!$C$1:$C$49,,0)</f>
        <v>M</v>
      </c>
      <c r="K659" s="7">
        <f>_xlfn.XLOOKUP(D659,products!$A$1:$A$49,products!$D$1:$D$49,,0)</f>
        <v>0.5</v>
      </c>
      <c r="L659" s="9">
        <f>_xlfn.XLOOKUP(D659,products!$A$1:$A$49,products!$E$1:$E$49,,0)</f>
        <v>6.75</v>
      </c>
      <c r="M659" s="9">
        <f t="shared" si="10"/>
        <v>13.5</v>
      </c>
      <c r="N659" s="3" t="str" cm="1">
        <f t="array" ref="N659">_xlfn.SWITCH(I659,
"Rob","Robusta",
"Exc","Excelsa",
"Ara","Arabica",
"Lib","Liberica",
"")</f>
        <v>Arabica</v>
      </c>
      <c r="O659" t="str" cm="1">
        <f t="array" ref="O659">_xlfn.SWITCH(J659,
"M","Medium",
"L","Light",
"D","Dark",
"")</f>
        <v>Medium</v>
      </c>
      <c r="P659" t="str">
        <f>_xlfn.XLOOKUP(Orders[[#This Row],[Customer ID]],customers!$A$1:$A$1001,customers!$I$1:$I$1001,,0)</f>
        <v>Yes</v>
      </c>
    </row>
    <row r="660" spans="1:16" x14ac:dyDescent="0.35">
      <c r="A660" s="2" t="s">
        <v>4207</v>
      </c>
      <c r="B660" s="4">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_xlfn.XLOOKUP(D660,products!$A$1:$A$49,products!$B$1:$B$49,,0)</f>
        <v>Exc</v>
      </c>
      <c r="J660" t="str">
        <f>_xlfn.XLOOKUP(D660,products!$A$1:$A$49,products!$C$1:$C$49,,0)</f>
        <v>M</v>
      </c>
      <c r="K660" s="7">
        <f>_xlfn.XLOOKUP(D660,products!$A$1:$A$49,products!$D$1:$D$49,,0)</f>
        <v>0.5</v>
      </c>
      <c r="L660" s="9">
        <f>_xlfn.XLOOKUP(D660,products!$A$1:$A$49,products!$E$1:$E$49,,0)</f>
        <v>8.25</v>
      </c>
      <c r="M660" s="9">
        <f t="shared" si="10"/>
        <v>24.75</v>
      </c>
      <c r="N660" s="3" t="str" cm="1">
        <f t="array" ref="N660">_xlfn.SWITCH(I660,
"Rob","Robusta",
"Exc","Excelsa",
"Ara","Arabica",
"Lib","Liberica",
"")</f>
        <v>Excelsa</v>
      </c>
      <c r="O660" t="str" cm="1">
        <f t="array" ref="O660">_xlfn.SWITCH(J660,
"M","Medium",
"L","Light",
"D","Dark",
"")</f>
        <v>Medium</v>
      </c>
      <c r="P660" t="str">
        <f>_xlfn.XLOOKUP(Orders[[#This Row],[Customer ID]],customers!$A$1:$A$1001,customers!$I$1:$I$1001,,0)</f>
        <v>Yes</v>
      </c>
    </row>
    <row r="661" spans="1:16" x14ac:dyDescent="0.35">
      <c r="A661" s="2" t="s">
        <v>4211</v>
      </c>
      <c r="B661" s="4">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_xlfn.XLOOKUP(D661,products!$A$1:$A$49,products!$B$1:$B$49,,0)</f>
        <v>Ara</v>
      </c>
      <c r="J661" t="str">
        <f>_xlfn.XLOOKUP(D661,products!$A$1:$A$49,products!$C$1:$C$49,,0)</f>
        <v>D</v>
      </c>
      <c r="K661" s="7">
        <f>_xlfn.XLOOKUP(D661,products!$A$1:$A$49,products!$D$1:$D$49,,0)</f>
        <v>2.5</v>
      </c>
      <c r="L661" s="9">
        <f>_xlfn.XLOOKUP(D661,products!$A$1:$A$49,products!$E$1:$E$49,,0)</f>
        <v>22.884999999999998</v>
      </c>
      <c r="M661" s="9">
        <f t="shared" si="10"/>
        <v>45.769999999999996</v>
      </c>
      <c r="N661" s="3" t="str" cm="1">
        <f t="array" ref="N661">_xlfn.SWITCH(I661,
"Rob","Robusta",
"Exc","Excelsa",
"Ara","Arabica",
"Lib","Liberica",
"")</f>
        <v>Arabica</v>
      </c>
      <c r="O661" t="str" cm="1">
        <f t="array" ref="O661">_xlfn.SWITCH(J661,
"M","Medium",
"L","Light",
"D","Dark",
"")</f>
        <v>Dark</v>
      </c>
      <c r="P661" t="str">
        <f>_xlfn.XLOOKUP(Orders[[#This Row],[Customer ID]],customers!$A$1:$A$1001,customers!$I$1:$I$1001,,0)</f>
        <v>Yes</v>
      </c>
    </row>
    <row r="662" spans="1:16" x14ac:dyDescent="0.35">
      <c r="A662" s="2" t="s">
        <v>4217</v>
      </c>
      <c r="B662" s="4">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_xlfn.XLOOKUP(D662,products!$A$1:$A$49,products!$B$1:$B$49,,0)</f>
        <v>Exc</v>
      </c>
      <c r="J662" t="str">
        <f>_xlfn.XLOOKUP(D662,products!$A$1:$A$49,products!$C$1:$C$49,,0)</f>
        <v>L</v>
      </c>
      <c r="K662" s="7">
        <f>_xlfn.XLOOKUP(D662,products!$A$1:$A$49,products!$D$1:$D$49,,0)</f>
        <v>0.5</v>
      </c>
      <c r="L662" s="9">
        <f>_xlfn.XLOOKUP(D662,products!$A$1:$A$49,products!$E$1:$E$49,,0)</f>
        <v>8.91</v>
      </c>
      <c r="M662" s="9">
        <f t="shared" si="10"/>
        <v>53.46</v>
      </c>
      <c r="N662" s="3" t="str" cm="1">
        <f t="array" ref="N662">_xlfn.SWITCH(I662,
"Rob","Robusta",
"Exc","Excelsa",
"Ara","Arabica",
"Lib","Liberica",
"")</f>
        <v>Excelsa</v>
      </c>
      <c r="O662" t="str" cm="1">
        <f t="array" ref="O662">_xlfn.SWITCH(J662,
"M","Medium",
"L","Light",
"D","Dark",
"")</f>
        <v>Light</v>
      </c>
      <c r="P662" t="str">
        <f>_xlfn.XLOOKUP(Orders[[#This Row],[Customer ID]],customers!$A$1:$A$1001,customers!$I$1:$I$1001,,0)</f>
        <v>No</v>
      </c>
    </row>
    <row r="663" spans="1:16" x14ac:dyDescent="0.35">
      <c r="A663" s="2" t="s">
        <v>4223</v>
      </c>
      <c r="B663" s="4">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_xlfn.XLOOKUP(D663,products!$A$1:$A$49,products!$B$1:$B$49,,0)</f>
        <v>Ara</v>
      </c>
      <c r="J663" t="str">
        <f>_xlfn.XLOOKUP(D663,products!$A$1:$A$49,products!$C$1:$C$49,,0)</f>
        <v>M</v>
      </c>
      <c r="K663" s="7">
        <f>_xlfn.XLOOKUP(D663,products!$A$1:$A$49,products!$D$1:$D$49,,0)</f>
        <v>0.2</v>
      </c>
      <c r="L663" s="9">
        <f>_xlfn.XLOOKUP(D663,products!$A$1:$A$49,products!$E$1:$E$49,,0)</f>
        <v>3.375</v>
      </c>
      <c r="M663" s="9">
        <f t="shared" si="10"/>
        <v>20.25</v>
      </c>
      <c r="N663" s="3" t="str" cm="1">
        <f t="array" ref="N663">_xlfn.SWITCH(I663,
"Rob","Robusta",
"Exc","Excelsa",
"Ara","Arabica",
"Lib","Liberica",
"")</f>
        <v>Arabica</v>
      </c>
      <c r="O663" t="str" cm="1">
        <f t="array" ref="O663">_xlfn.SWITCH(J663,
"M","Medium",
"L","Light",
"D","Dark",
"")</f>
        <v>Medium</v>
      </c>
      <c r="P663" t="str">
        <f>_xlfn.XLOOKUP(Orders[[#This Row],[Customer ID]],customers!$A$1:$A$1001,customers!$I$1:$I$1001,,0)</f>
        <v>Yes</v>
      </c>
    </row>
    <row r="664" spans="1:16" x14ac:dyDescent="0.35">
      <c r="A664" s="2" t="s">
        <v>4229</v>
      </c>
      <c r="B664" s="4">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_xlfn.XLOOKUP(D664,products!$A$1:$A$49,products!$B$1:$B$49,,0)</f>
        <v>Lib</v>
      </c>
      <c r="J664" t="str">
        <f>_xlfn.XLOOKUP(D664,products!$A$1:$A$49,products!$C$1:$C$49,,0)</f>
        <v>D</v>
      </c>
      <c r="K664" s="7">
        <f>_xlfn.XLOOKUP(D664,products!$A$1:$A$49,products!$D$1:$D$49,,0)</f>
        <v>2.5</v>
      </c>
      <c r="L664" s="9">
        <f>_xlfn.XLOOKUP(D664,products!$A$1:$A$49,products!$E$1:$E$49,,0)</f>
        <v>29.784999999999997</v>
      </c>
      <c r="M664" s="9">
        <f t="shared" si="10"/>
        <v>148.92499999999998</v>
      </c>
      <c r="N664" s="3" t="str" cm="1">
        <f t="array" ref="N664">_xlfn.SWITCH(I664,
"Rob","Robusta",
"Exc","Excelsa",
"Ara","Arabica",
"Lib","Liberica",
"")</f>
        <v>Liberica</v>
      </c>
      <c r="O664" t="str" cm="1">
        <f t="array" ref="O664">_xlfn.SWITCH(J664,
"M","Medium",
"L","Light",
"D","Dark",
"")</f>
        <v>Dark</v>
      </c>
      <c r="P664" t="str">
        <f>_xlfn.XLOOKUP(Orders[[#This Row],[Customer ID]],customers!$A$1:$A$1001,customers!$I$1:$I$1001,,0)</f>
        <v>No</v>
      </c>
    </row>
    <row r="665" spans="1:16" x14ac:dyDescent="0.35">
      <c r="A665" s="2" t="s">
        <v>4234</v>
      </c>
      <c r="B665" s="4">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_xlfn.XLOOKUP(D665,products!$A$1:$A$49,products!$B$1:$B$49,,0)</f>
        <v>Ara</v>
      </c>
      <c r="J665" t="str">
        <f>_xlfn.XLOOKUP(D665,products!$A$1:$A$49,products!$C$1:$C$49,,0)</f>
        <v>M</v>
      </c>
      <c r="K665" s="7">
        <f>_xlfn.XLOOKUP(D665,products!$A$1:$A$49,products!$D$1:$D$49,,0)</f>
        <v>1</v>
      </c>
      <c r="L665" s="9">
        <f>_xlfn.XLOOKUP(D665,products!$A$1:$A$49,products!$E$1:$E$49,,0)</f>
        <v>11.25</v>
      </c>
      <c r="M665" s="9">
        <f t="shared" si="10"/>
        <v>67.5</v>
      </c>
      <c r="N665" s="3" t="str" cm="1">
        <f t="array" ref="N665">_xlfn.SWITCH(I665,
"Rob","Robusta",
"Exc","Excelsa",
"Ara","Arabica",
"Lib","Liberica",
"")</f>
        <v>Arabica</v>
      </c>
      <c r="O665" t="str" cm="1">
        <f t="array" ref="O665">_xlfn.SWITCH(J665,
"M","Medium",
"L","Light",
"D","Dark",
"")</f>
        <v>Medium</v>
      </c>
      <c r="P665" t="str">
        <f>_xlfn.XLOOKUP(Orders[[#This Row],[Customer ID]],customers!$A$1:$A$1001,customers!$I$1:$I$1001,,0)</f>
        <v>No</v>
      </c>
    </row>
    <row r="666" spans="1:16" x14ac:dyDescent="0.35">
      <c r="A666" s="2" t="s">
        <v>4239</v>
      </c>
      <c r="B666" s="4">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_xlfn.XLOOKUP(D666,products!$A$1:$A$49,products!$B$1:$B$49,,0)</f>
        <v>Exc</v>
      </c>
      <c r="J666" t="str">
        <f>_xlfn.XLOOKUP(D666,products!$A$1:$A$49,products!$C$1:$C$49,,0)</f>
        <v>D</v>
      </c>
      <c r="K666" s="7">
        <f>_xlfn.XLOOKUP(D666,products!$A$1:$A$49,products!$D$1:$D$49,,0)</f>
        <v>1</v>
      </c>
      <c r="L666" s="9">
        <f>_xlfn.XLOOKUP(D666,products!$A$1:$A$49,products!$E$1:$E$49,,0)</f>
        <v>12.15</v>
      </c>
      <c r="M666" s="9">
        <f t="shared" si="10"/>
        <v>72.900000000000006</v>
      </c>
      <c r="N666" s="3" t="str" cm="1">
        <f t="array" ref="N666">_xlfn.SWITCH(I666,
"Rob","Robusta",
"Exc","Excelsa",
"Ara","Arabica",
"Lib","Liberica",
"")</f>
        <v>Excelsa</v>
      </c>
      <c r="O666" t="str" cm="1">
        <f t="array" ref="O666">_xlfn.SWITCH(J666,
"M","Medium",
"L","Light",
"D","Dark",
"")</f>
        <v>Dark</v>
      </c>
      <c r="P666" t="str">
        <f>_xlfn.XLOOKUP(Orders[[#This Row],[Customer ID]],customers!$A$1:$A$1001,customers!$I$1:$I$1001,,0)</f>
        <v>No</v>
      </c>
    </row>
    <row r="667" spans="1:16" x14ac:dyDescent="0.35">
      <c r="A667" s="2" t="s">
        <v>4239</v>
      </c>
      <c r="B667" s="4">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_xlfn.XLOOKUP(D667,products!$A$1:$A$49,products!$B$1:$B$49,,0)</f>
        <v>Lib</v>
      </c>
      <c r="J667" t="str">
        <f>_xlfn.XLOOKUP(D667,products!$A$1:$A$49,products!$C$1:$C$49,,0)</f>
        <v>D</v>
      </c>
      <c r="K667" s="7">
        <f>_xlfn.XLOOKUP(D667,products!$A$1:$A$49,products!$D$1:$D$49,,0)</f>
        <v>0.2</v>
      </c>
      <c r="L667" s="9">
        <f>_xlfn.XLOOKUP(D667,products!$A$1:$A$49,products!$E$1:$E$49,,0)</f>
        <v>3.8849999999999998</v>
      </c>
      <c r="M667" s="9">
        <f t="shared" si="10"/>
        <v>7.77</v>
      </c>
      <c r="N667" s="3" t="str" cm="1">
        <f t="array" ref="N667">_xlfn.SWITCH(I667,
"Rob","Robusta",
"Exc","Excelsa",
"Ara","Arabica",
"Lib","Liberica",
"")</f>
        <v>Liberica</v>
      </c>
      <c r="O667" t="str" cm="1">
        <f t="array" ref="O667">_xlfn.SWITCH(J667,
"M","Medium",
"L","Light",
"D","Dark",
"")</f>
        <v>Dark</v>
      </c>
      <c r="P667" t="str">
        <f>_xlfn.XLOOKUP(Orders[[#This Row],[Customer ID]],customers!$A$1:$A$1001,customers!$I$1:$I$1001,,0)</f>
        <v>No</v>
      </c>
    </row>
    <row r="668" spans="1:16" x14ac:dyDescent="0.35">
      <c r="A668" s="2" t="s">
        <v>4250</v>
      </c>
      <c r="B668" s="4">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_xlfn.XLOOKUP(D668,products!$A$1:$A$49,products!$B$1:$B$49,,0)</f>
        <v>Ara</v>
      </c>
      <c r="J668" t="str">
        <f>_xlfn.XLOOKUP(D668,products!$A$1:$A$49,products!$C$1:$C$49,,0)</f>
        <v>D</v>
      </c>
      <c r="K668" s="7">
        <f>_xlfn.XLOOKUP(D668,products!$A$1:$A$49,products!$D$1:$D$49,,0)</f>
        <v>2.5</v>
      </c>
      <c r="L668" s="9">
        <f>_xlfn.XLOOKUP(D668,products!$A$1:$A$49,products!$E$1:$E$49,,0)</f>
        <v>22.884999999999998</v>
      </c>
      <c r="M668" s="9">
        <f t="shared" si="10"/>
        <v>91.539999999999992</v>
      </c>
      <c r="N668" s="3" t="str" cm="1">
        <f t="array" ref="N668">_xlfn.SWITCH(I668,
"Rob","Robusta",
"Exc","Excelsa",
"Ara","Arabica",
"Lib","Liberica",
"")</f>
        <v>Arabica</v>
      </c>
      <c r="O668" t="str" cm="1">
        <f t="array" ref="O668">_xlfn.SWITCH(J668,
"M","Medium",
"L","Light",
"D","Dark",
"")</f>
        <v>Dark</v>
      </c>
      <c r="P668" t="str">
        <f>_xlfn.XLOOKUP(Orders[[#This Row],[Customer ID]],customers!$A$1:$A$1001,customers!$I$1:$I$1001,,0)</f>
        <v>No</v>
      </c>
    </row>
    <row r="669" spans="1:16" x14ac:dyDescent="0.35">
      <c r="A669" s="2" t="s">
        <v>4256</v>
      </c>
      <c r="B669" s="4">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_xlfn.XLOOKUP(D669,products!$A$1:$A$49,products!$B$1:$B$49,,0)</f>
        <v>Ara</v>
      </c>
      <c r="J669" t="str">
        <f>_xlfn.XLOOKUP(D669,products!$A$1:$A$49,products!$C$1:$C$49,,0)</f>
        <v>D</v>
      </c>
      <c r="K669" s="7">
        <f>_xlfn.XLOOKUP(D669,products!$A$1:$A$49,products!$D$1:$D$49,,0)</f>
        <v>1</v>
      </c>
      <c r="L669" s="9">
        <f>_xlfn.XLOOKUP(D669,products!$A$1:$A$49,products!$E$1:$E$49,,0)</f>
        <v>9.9499999999999993</v>
      </c>
      <c r="M669" s="9">
        <f t="shared" si="10"/>
        <v>59.699999999999996</v>
      </c>
      <c r="N669" s="3" t="str" cm="1">
        <f t="array" ref="N669">_xlfn.SWITCH(I669,
"Rob","Robusta",
"Exc","Excelsa",
"Ara","Arabica",
"Lib","Liberica",
"")</f>
        <v>Arabica</v>
      </c>
      <c r="O669" t="str" cm="1">
        <f t="array" ref="O669">_xlfn.SWITCH(J669,
"M","Medium",
"L","Light",
"D","Dark",
"")</f>
        <v>Dark</v>
      </c>
      <c r="P669" t="str">
        <f>_xlfn.XLOOKUP(Orders[[#This Row],[Customer ID]],customers!$A$1:$A$1001,customers!$I$1:$I$1001,,0)</f>
        <v>No</v>
      </c>
    </row>
    <row r="670" spans="1:16" x14ac:dyDescent="0.35">
      <c r="A670" s="2" t="s">
        <v>4262</v>
      </c>
      <c r="B670" s="4">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_xlfn.XLOOKUP(D670,products!$A$1:$A$49,products!$B$1:$B$49,,0)</f>
        <v>Rob</v>
      </c>
      <c r="J670" t="str">
        <f>_xlfn.XLOOKUP(D670,products!$A$1:$A$49,products!$C$1:$C$49,,0)</f>
        <v>L</v>
      </c>
      <c r="K670" s="7">
        <f>_xlfn.XLOOKUP(D670,products!$A$1:$A$49,products!$D$1:$D$49,,0)</f>
        <v>2.5</v>
      </c>
      <c r="L670" s="9">
        <f>_xlfn.XLOOKUP(D670,products!$A$1:$A$49,products!$E$1:$E$49,,0)</f>
        <v>27.484999999999996</v>
      </c>
      <c r="M670" s="9">
        <f t="shared" si="10"/>
        <v>137.42499999999998</v>
      </c>
      <c r="N670" s="3" t="str" cm="1">
        <f t="array" ref="N670">_xlfn.SWITCH(I670,
"Rob","Robusta",
"Exc","Excelsa",
"Ara","Arabica",
"Lib","Liberica",
"")</f>
        <v>Robusta</v>
      </c>
      <c r="O670" t="str" cm="1">
        <f t="array" ref="O670">_xlfn.SWITCH(J670,
"M","Medium",
"L","Light",
"D","Dark",
"")</f>
        <v>Light</v>
      </c>
      <c r="P670" t="str">
        <f>_xlfn.XLOOKUP(Orders[[#This Row],[Customer ID]],customers!$A$1:$A$1001,customers!$I$1:$I$1001,,0)</f>
        <v>Yes</v>
      </c>
    </row>
    <row r="671" spans="1:16" x14ac:dyDescent="0.35">
      <c r="A671" s="2" t="s">
        <v>4268</v>
      </c>
      <c r="B671" s="4">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_xlfn.XLOOKUP(D671,products!$A$1:$A$49,products!$B$1:$B$49,,0)</f>
        <v>Lib</v>
      </c>
      <c r="J671" t="str">
        <f>_xlfn.XLOOKUP(D671,products!$A$1:$A$49,products!$C$1:$C$49,,0)</f>
        <v>M</v>
      </c>
      <c r="K671" s="7">
        <f>_xlfn.XLOOKUP(D671,products!$A$1:$A$49,products!$D$1:$D$49,,0)</f>
        <v>2.5</v>
      </c>
      <c r="L671" s="9">
        <f>_xlfn.XLOOKUP(D671,products!$A$1:$A$49,products!$E$1:$E$49,,0)</f>
        <v>33.464999999999996</v>
      </c>
      <c r="M671" s="9">
        <f t="shared" si="10"/>
        <v>66.929999999999993</v>
      </c>
      <c r="N671" s="3" t="str" cm="1">
        <f t="array" ref="N671">_xlfn.SWITCH(I671,
"Rob","Robusta",
"Exc","Excelsa",
"Ara","Arabica",
"Lib","Liberica",
"")</f>
        <v>Liberica</v>
      </c>
      <c r="O671" t="str" cm="1">
        <f t="array" ref="O671">_xlfn.SWITCH(J671,
"M","Medium",
"L","Light",
"D","Dark",
"")</f>
        <v>Medium</v>
      </c>
      <c r="P671" t="str">
        <f>_xlfn.XLOOKUP(Orders[[#This Row],[Customer ID]],customers!$A$1:$A$1001,customers!$I$1:$I$1001,,0)</f>
        <v>No</v>
      </c>
    </row>
    <row r="672" spans="1:16" x14ac:dyDescent="0.35">
      <c r="A672" s="2" t="s">
        <v>4274</v>
      </c>
      <c r="B672" s="4">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_xlfn.XLOOKUP(D672,products!$A$1:$A$49,products!$B$1:$B$49,,0)</f>
        <v>Lib</v>
      </c>
      <c r="J672" t="str">
        <f>_xlfn.XLOOKUP(D672,products!$A$1:$A$49,products!$C$1:$C$49,,0)</f>
        <v>M</v>
      </c>
      <c r="K672" s="7">
        <f>_xlfn.XLOOKUP(D672,products!$A$1:$A$49,products!$D$1:$D$49,,0)</f>
        <v>0.2</v>
      </c>
      <c r="L672" s="9">
        <f>_xlfn.XLOOKUP(D672,products!$A$1:$A$49,products!$E$1:$E$49,,0)</f>
        <v>4.3650000000000002</v>
      </c>
      <c r="M672" s="9">
        <f t="shared" si="10"/>
        <v>13.095000000000001</v>
      </c>
      <c r="N672" s="3" t="str" cm="1">
        <f t="array" ref="N672">_xlfn.SWITCH(I672,
"Rob","Robusta",
"Exc","Excelsa",
"Ara","Arabica",
"Lib","Liberica",
"")</f>
        <v>Liberica</v>
      </c>
      <c r="O672" t="str" cm="1">
        <f t="array" ref="O672">_xlfn.SWITCH(J672,
"M","Medium",
"L","Light",
"D","Dark",
"")</f>
        <v>Medium</v>
      </c>
      <c r="P672" t="str">
        <f>_xlfn.XLOOKUP(Orders[[#This Row],[Customer ID]],customers!$A$1:$A$1001,customers!$I$1:$I$1001,,0)</f>
        <v>Yes</v>
      </c>
    </row>
    <row r="673" spans="1:16" x14ac:dyDescent="0.35">
      <c r="A673" s="2" t="s">
        <v>4280</v>
      </c>
      <c r="B673" s="4">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_xlfn.XLOOKUP(D673,products!$A$1:$A$49,products!$B$1:$B$49,,0)</f>
        <v>Rob</v>
      </c>
      <c r="J673" t="str">
        <f>_xlfn.XLOOKUP(D673,products!$A$1:$A$49,products!$C$1:$C$49,,0)</f>
        <v>L</v>
      </c>
      <c r="K673" s="7">
        <f>_xlfn.XLOOKUP(D673,products!$A$1:$A$49,products!$D$1:$D$49,,0)</f>
        <v>1</v>
      </c>
      <c r="L673" s="9">
        <f>_xlfn.XLOOKUP(D673,products!$A$1:$A$49,products!$E$1:$E$49,,0)</f>
        <v>11.95</v>
      </c>
      <c r="M673" s="9">
        <f t="shared" si="10"/>
        <v>59.75</v>
      </c>
      <c r="N673" s="3" t="str" cm="1">
        <f t="array" ref="N673">_xlfn.SWITCH(I673,
"Rob","Robusta",
"Exc","Excelsa",
"Ara","Arabica",
"Lib","Liberica",
"")</f>
        <v>Robusta</v>
      </c>
      <c r="O673" t="str" cm="1">
        <f t="array" ref="O673">_xlfn.SWITCH(J673,
"M","Medium",
"L","Light",
"D","Dark",
"")</f>
        <v>Light</v>
      </c>
      <c r="P673" t="str">
        <f>_xlfn.XLOOKUP(Orders[[#This Row],[Customer ID]],customers!$A$1:$A$1001,customers!$I$1:$I$1001,,0)</f>
        <v>No</v>
      </c>
    </row>
    <row r="674" spans="1:16" x14ac:dyDescent="0.35">
      <c r="A674" s="2" t="s">
        <v>4286</v>
      </c>
      <c r="B674" s="4">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_xlfn.XLOOKUP(D674,products!$A$1:$A$49,products!$B$1:$B$49,,0)</f>
        <v>Lib</v>
      </c>
      <c r="J674" t="str">
        <f>_xlfn.XLOOKUP(D674,products!$A$1:$A$49,products!$C$1:$C$49,,0)</f>
        <v>M</v>
      </c>
      <c r="K674" s="7">
        <f>_xlfn.XLOOKUP(D674,products!$A$1:$A$49,products!$D$1:$D$49,,0)</f>
        <v>0.5</v>
      </c>
      <c r="L674" s="9">
        <f>_xlfn.XLOOKUP(D674,products!$A$1:$A$49,products!$E$1:$E$49,,0)</f>
        <v>8.73</v>
      </c>
      <c r="M674" s="9">
        <f t="shared" si="10"/>
        <v>43.650000000000006</v>
      </c>
      <c r="N674" s="3" t="str" cm="1">
        <f t="array" ref="N674">_xlfn.SWITCH(I674,
"Rob","Robusta",
"Exc","Excelsa",
"Ara","Arabica",
"Lib","Liberica",
"")</f>
        <v>Liberica</v>
      </c>
      <c r="O674" t="str" cm="1">
        <f t="array" ref="O674">_xlfn.SWITCH(J674,
"M","Medium",
"L","Light",
"D","Dark",
"")</f>
        <v>Medium</v>
      </c>
      <c r="P674" t="str">
        <f>_xlfn.XLOOKUP(Orders[[#This Row],[Customer ID]],customers!$A$1:$A$1001,customers!$I$1:$I$1001,,0)</f>
        <v>Yes</v>
      </c>
    </row>
    <row r="675" spans="1:16" x14ac:dyDescent="0.35">
      <c r="A675" s="2" t="s">
        <v>4291</v>
      </c>
      <c r="B675" s="4">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_xlfn.XLOOKUP(D675,products!$A$1:$A$49,products!$B$1:$B$49,,0)</f>
        <v>Exc</v>
      </c>
      <c r="J675" t="str">
        <f>_xlfn.XLOOKUP(D675,products!$A$1:$A$49,products!$C$1:$C$49,,0)</f>
        <v>M</v>
      </c>
      <c r="K675" s="7">
        <f>_xlfn.XLOOKUP(D675,products!$A$1:$A$49,products!$D$1:$D$49,,0)</f>
        <v>1</v>
      </c>
      <c r="L675" s="9">
        <f>_xlfn.XLOOKUP(D675,products!$A$1:$A$49,products!$E$1:$E$49,,0)</f>
        <v>13.75</v>
      </c>
      <c r="M675" s="9">
        <f t="shared" si="10"/>
        <v>82.5</v>
      </c>
      <c r="N675" s="3" t="str" cm="1">
        <f t="array" ref="N675">_xlfn.SWITCH(I675,
"Rob","Robusta",
"Exc","Excelsa",
"Ara","Arabica",
"Lib","Liberica",
"")</f>
        <v>Excelsa</v>
      </c>
      <c r="O675" t="str" cm="1">
        <f t="array" ref="O675">_xlfn.SWITCH(J675,
"M","Medium",
"L","Light",
"D","Dark",
"")</f>
        <v>Medium</v>
      </c>
      <c r="P675" t="str">
        <f>_xlfn.XLOOKUP(Orders[[#This Row],[Customer ID]],customers!$A$1:$A$1001,customers!$I$1:$I$1001,,0)</f>
        <v>Yes</v>
      </c>
    </row>
    <row r="676" spans="1:16" x14ac:dyDescent="0.35">
      <c r="A676" s="2" t="s">
        <v>4297</v>
      </c>
      <c r="B676" s="4">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_xlfn.XLOOKUP(D676,products!$A$1:$A$49,products!$B$1:$B$49,,0)</f>
        <v>Ara</v>
      </c>
      <c r="J676" t="str">
        <f>_xlfn.XLOOKUP(D676,products!$A$1:$A$49,products!$C$1:$C$49,,0)</f>
        <v>L</v>
      </c>
      <c r="K676" s="7">
        <f>_xlfn.XLOOKUP(D676,products!$A$1:$A$49,products!$D$1:$D$49,,0)</f>
        <v>2.5</v>
      </c>
      <c r="L676" s="9">
        <f>_xlfn.XLOOKUP(D676,products!$A$1:$A$49,products!$E$1:$E$49,,0)</f>
        <v>29.784999999999997</v>
      </c>
      <c r="M676" s="9">
        <f t="shared" si="10"/>
        <v>178.70999999999998</v>
      </c>
      <c r="N676" s="3" t="str" cm="1">
        <f t="array" ref="N676">_xlfn.SWITCH(I676,
"Rob","Robusta",
"Exc","Excelsa",
"Ara","Arabica",
"Lib","Liberica",
"")</f>
        <v>Arabica</v>
      </c>
      <c r="O676" t="str" cm="1">
        <f t="array" ref="O676">_xlfn.SWITCH(J676,
"M","Medium",
"L","Light",
"D","Dark",
"")</f>
        <v>Light</v>
      </c>
      <c r="P676" t="str">
        <f>_xlfn.XLOOKUP(Orders[[#This Row],[Customer ID]],customers!$A$1:$A$1001,customers!$I$1:$I$1001,,0)</f>
        <v>Yes</v>
      </c>
    </row>
    <row r="677" spans="1:16" x14ac:dyDescent="0.35">
      <c r="A677" s="2" t="s">
        <v>4303</v>
      </c>
      <c r="B677" s="4">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_xlfn.XLOOKUP(D677,products!$A$1:$A$49,products!$B$1:$B$49,,0)</f>
        <v>Lib</v>
      </c>
      <c r="J677" t="str">
        <f>_xlfn.XLOOKUP(D677,products!$A$1:$A$49,products!$C$1:$C$49,,0)</f>
        <v>D</v>
      </c>
      <c r="K677" s="7">
        <f>_xlfn.XLOOKUP(D677,products!$A$1:$A$49,products!$D$1:$D$49,,0)</f>
        <v>2.5</v>
      </c>
      <c r="L677" s="9">
        <f>_xlfn.XLOOKUP(D677,products!$A$1:$A$49,products!$E$1:$E$49,,0)</f>
        <v>29.784999999999997</v>
      </c>
      <c r="M677" s="9">
        <f t="shared" si="10"/>
        <v>119.13999999999999</v>
      </c>
      <c r="N677" s="3" t="str" cm="1">
        <f t="array" ref="N677">_xlfn.SWITCH(I677,
"Rob","Robusta",
"Exc","Excelsa",
"Ara","Arabica",
"Lib","Liberica",
"")</f>
        <v>Liberica</v>
      </c>
      <c r="O677" t="str" cm="1">
        <f t="array" ref="O677">_xlfn.SWITCH(J677,
"M","Medium",
"L","Light",
"D","Dark",
"")</f>
        <v>Dark</v>
      </c>
      <c r="P677" t="str">
        <f>_xlfn.XLOOKUP(Orders[[#This Row],[Customer ID]],customers!$A$1:$A$1001,customers!$I$1:$I$1001,,0)</f>
        <v>Yes</v>
      </c>
    </row>
    <row r="678" spans="1:16" x14ac:dyDescent="0.35">
      <c r="A678" s="2" t="s">
        <v>4308</v>
      </c>
      <c r="B678" s="4">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_xlfn.XLOOKUP(D678,products!$A$1:$A$49,products!$B$1:$B$49,,0)</f>
        <v>Lib</v>
      </c>
      <c r="J678" t="str">
        <f>_xlfn.XLOOKUP(D678,products!$A$1:$A$49,products!$C$1:$C$49,,0)</f>
        <v>L</v>
      </c>
      <c r="K678" s="7">
        <f>_xlfn.XLOOKUP(D678,products!$A$1:$A$49,products!$D$1:$D$49,,0)</f>
        <v>0.5</v>
      </c>
      <c r="L678" s="9">
        <f>_xlfn.XLOOKUP(D678,products!$A$1:$A$49,products!$E$1:$E$49,,0)</f>
        <v>9.51</v>
      </c>
      <c r="M678" s="9">
        <f t="shared" si="10"/>
        <v>47.55</v>
      </c>
      <c r="N678" s="3" t="str" cm="1">
        <f t="array" ref="N678">_xlfn.SWITCH(I678,
"Rob","Robusta",
"Exc","Excelsa",
"Ara","Arabica",
"Lib","Liberica",
"")</f>
        <v>Liberica</v>
      </c>
      <c r="O678" t="str" cm="1">
        <f t="array" ref="O678">_xlfn.SWITCH(J678,
"M","Medium",
"L","Light",
"D","Dark",
"")</f>
        <v>Light</v>
      </c>
      <c r="P678" t="str">
        <f>_xlfn.XLOOKUP(Orders[[#This Row],[Customer ID]],customers!$A$1:$A$1001,customers!$I$1:$I$1001,,0)</f>
        <v>No</v>
      </c>
    </row>
    <row r="679" spans="1:16" x14ac:dyDescent="0.35">
      <c r="A679" s="2" t="s">
        <v>4313</v>
      </c>
      <c r="B679" s="4">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_xlfn.XLOOKUP(D679,products!$A$1:$A$49,products!$B$1:$B$49,,0)</f>
        <v>Lib</v>
      </c>
      <c r="J679" t="str">
        <f>_xlfn.XLOOKUP(D679,products!$A$1:$A$49,products!$C$1:$C$49,,0)</f>
        <v>M</v>
      </c>
      <c r="K679" s="7">
        <f>_xlfn.XLOOKUP(D679,products!$A$1:$A$49,products!$D$1:$D$49,,0)</f>
        <v>0.5</v>
      </c>
      <c r="L679" s="9">
        <f>_xlfn.XLOOKUP(D679,products!$A$1:$A$49,products!$E$1:$E$49,,0)</f>
        <v>8.73</v>
      </c>
      <c r="M679" s="9">
        <f t="shared" si="10"/>
        <v>43.650000000000006</v>
      </c>
      <c r="N679" s="3" t="str" cm="1">
        <f t="array" ref="N679">_xlfn.SWITCH(I679,
"Rob","Robusta",
"Exc","Excelsa",
"Ara","Arabica",
"Lib","Liberica",
"")</f>
        <v>Liberica</v>
      </c>
      <c r="O679" t="str" cm="1">
        <f t="array" ref="O679">_xlfn.SWITCH(J679,
"M","Medium",
"L","Light",
"D","Dark",
"")</f>
        <v>Medium</v>
      </c>
      <c r="P679" t="str">
        <f>_xlfn.XLOOKUP(Orders[[#This Row],[Customer ID]],customers!$A$1:$A$1001,customers!$I$1:$I$1001,,0)</f>
        <v>No</v>
      </c>
    </row>
    <row r="680" spans="1:16" x14ac:dyDescent="0.35">
      <c r="A680" s="2" t="s">
        <v>4319</v>
      </c>
      <c r="B680" s="4">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_xlfn.XLOOKUP(D680,products!$A$1:$A$49,products!$B$1:$B$49,,0)</f>
        <v>Ara</v>
      </c>
      <c r="J680" t="str">
        <f>_xlfn.XLOOKUP(D680,products!$A$1:$A$49,products!$C$1:$C$49,,0)</f>
        <v>L</v>
      </c>
      <c r="K680" s="7">
        <f>_xlfn.XLOOKUP(D680,products!$A$1:$A$49,products!$D$1:$D$49,,0)</f>
        <v>2.5</v>
      </c>
      <c r="L680" s="9">
        <f>_xlfn.XLOOKUP(D680,products!$A$1:$A$49,products!$E$1:$E$49,,0)</f>
        <v>29.784999999999997</v>
      </c>
      <c r="M680" s="9">
        <f t="shared" si="10"/>
        <v>178.70999999999998</v>
      </c>
      <c r="N680" s="3" t="str" cm="1">
        <f t="array" ref="N680">_xlfn.SWITCH(I680,
"Rob","Robusta",
"Exc","Excelsa",
"Ara","Arabica",
"Lib","Liberica",
"")</f>
        <v>Arabica</v>
      </c>
      <c r="O680" t="str" cm="1">
        <f t="array" ref="O680">_xlfn.SWITCH(J680,
"M","Medium",
"L","Light",
"D","Dark",
"")</f>
        <v>Light</v>
      </c>
      <c r="P680" t="str">
        <f>_xlfn.XLOOKUP(Orders[[#This Row],[Customer ID]],customers!$A$1:$A$1001,customers!$I$1:$I$1001,,0)</f>
        <v>Yes</v>
      </c>
    </row>
    <row r="681" spans="1:16" x14ac:dyDescent="0.35">
      <c r="A681" s="2" t="s">
        <v>4325</v>
      </c>
      <c r="B681" s="4">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_xlfn.XLOOKUP(D681,products!$A$1:$A$49,products!$B$1:$B$49,,0)</f>
        <v>Rob</v>
      </c>
      <c r="J681" t="str">
        <f>_xlfn.XLOOKUP(D681,products!$A$1:$A$49,products!$C$1:$C$49,,0)</f>
        <v>L</v>
      </c>
      <c r="K681" s="7">
        <f>_xlfn.XLOOKUP(D681,products!$A$1:$A$49,products!$D$1:$D$49,,0)</f>
        <v>2.5</v>
      </c>
      <c r="L681" s="9">
        <f>_xlfn.XLOOKUP(D681,products!$A$1:$A$49,products!$E$1:$E$49,,0)</f>
        <v>27.484999999999996</v>
      </c>
      <c r="M681" s="9">
        <f t="shared" si="10"/>
        <v>27.484999999999996</v>
      </c>
      <c r="N681" s="3" t="str" cm="1">
        <f t="array" ref="N681">_xlfn.SWITCH(I681,
"Rob","Robusta",
"Exc","Excelsa",
"Ara","Arabica",
"Lib","Liberica",
"")</f>
        <v>Robusta</v>
      </c>
      <c r="O681" t="str" cm="1">
        <f t="array" ref="O681">_xlfn.SWITCH(J681,
"M","Medium",
"L","Light",
"D","Dark",
"")</f>
        <v>Light</v>
      </c>
      <c r="P681" t="str">
        <f>_xlfn.XLOOKUP(Orders[[#This Row],[Customer ID]],customers!$A$1:$A$1001,customers!$I$1:$I$1001,,0)</f>
        <v>No</v>
      </c>
    </row>
    <row r="682" spans="1:16" x14ac:dyDescent="0.35">
      <c r="A682" s="2" t="s">
        <v>4331</v>
      </c>
      <c r="B682" s="4">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_xlfn.XLOOKUP(D682,products!$A$1:$A$49,products!$B$1:$B$49,,0)</f>
        <v>Ara</v>
      </c>
      <c r="J682" t="str">
        <f>_xlfn.XLOOKUP(D682,products!$A$1:$A$49,products!$C$1:$C$49,,0)</f>
        <v>M</v>
      </c>
      <c r="K682" s="7">
        <f>_xlfn.XLOOKUP(D682,products!$A$1:$A$49,products!$D$1:$D$49,,0)</f>
        <v>1</v>
      </c>
      <c r="L682" s="9">
        <f>_xlfn.XLOOKUP(D682,products!$A$1:$A$49,products!$E$1:$E$49,,0)</f>
        <v>11.25</v>
      </c>
      <c r="M682" s="9">
        <f t="shared" si="10"/>
        <v>56.25</v>
      </c>
      <c r="N682" s="3" t="str" cm="1">
        <f t="array" ref="N682">_xlfn.SWITCH(I682,
"Rob","Robusta",
"Exc","Excelsa",
"Ara","Arabica",
"Lib","Liberica",
"")</f>
        <v>Arabica</v>
      </c>
      <c r="O682" t="str" cm="1">
        <f t="array" ref="O682">_xlfn.SWITCH(J682,
"M","Medium",
"L","Light",
"D","Dark",
"")</f>
        <v>Medium</v>
      </c>
      <c r="P682" t="str">
        <f>_xlfn.XLOOKUP(Orders[[#This Row],[Customer ID]],customers!$A$1:$A$1001,customers!$I$1:$I$1001,,0)</f>
        <v>No</v>
      </c>
    </row>
    <row r="683" spans="1:16" x14ac:dyDescent="0.35">
      <c r="A683" s="2" t="s">
        <v>4336</v>
      </c>
      <c r="B683" s="4">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_xlfn.XLOOKUP(D683,products!$A$1:$A$49,products!$B$1:$B$49,,0)</f>
        <v>Lib</v>
      </c>
      <c r="J683" t="str">
        <f>_xlfn.XLOOKUP(D683,products!$A$1:$A$49,products!$C$1:$C$49,,0)</f>
        <v>L</v>
      </c>
      <c r="K683" s="7">
        <f>_xlfn.XLOOKUP(D683,products!$A$1:$A$49,products!$D$1:$D$49,,0)</f>
        <v>0.2</v>
      </c>
      <c r="L683" s="9">
        <f>_xlfn.XLOOKUP(D683,products!$A$1:$A$49,products!$E$1:$E$49,,0)</f>
        <v>4.7549999999999999</v>
      </c>
      <c r="M683" s="9">
        <f t="shared" si="10"/>
        <v>9.51</v>
      </c>
      <c r="N683" s="3" t="str" cm="1">
        <f t="array" ref="N683">_xlfn.SWITCH(I683,
"Rob","Robusta",
"Exc","Excelsa",
"Ara","Arabica",
"Lib","Liberica",
"")</f>
        <v>Liberica</v>
      </c>
      <c r="O683" t="str" cm="1">
        <f t="array" ref="O683">_xlfn.SWITCH(J683,
"M","Medium",
"L","Light",
"D","Dark",
"")</f>
        <v>Light</v>
      </c>
      <c r="P683" t="str">
        <f>_xlfn.XLOOKUP(Orders[[#This Row],[Customer ID]],customers!$A$1:$A$1001,customers!$I$1:$I$1001,,0)</f>
        <v>Yes</v>
      </c>
    </row>
    <row r="684" spans="1:16" x14ac:dyDescent="0.35">
      <c r="A684" s="2" t="s">
        <v>4342</v>
      </c>
      <c r="B684" s="4">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_xlfn.XLOOKUP(D684,products!$A$1:$A$49,products!$B$1:$B$49,,0)</f>
        <v>Exc</v>
      </c>
      <c r="J684" t="str">
        <f>_xlfn.XLOOKUP(D684,products!$A$1:$A$49,products!$C$1:$C$49,,0)</f>
        <v>M</v>
      </c>
      <c r="K684" s="7">
        <f>_xlfn.XLOOKUP(D684,products!$A$1:$A$49,products!$D$1:$D$49,,0)</f>
        <v>0.2</v>
      </c>
      <c r="L684" s="9">
        <f>_xlfn.XLOOKUP(D684,products!$A$1:$A$49,products!$E$1:$E$49,,0)</f>
        <v>4.125</v>
      </c>
      <c r="M684" s="9">
        <f t="shared" si="10"/>
        <v>8.25</v>
      </c>
      <c r="N684" s="3" t="str" cm="1">
        <f t="array" ref="N684">_xlfn.SWITCH(I684,
"Rob","Robusta",
"Exc","Excelsa",
"Ara","Arabica",
"Lib","Liberica",
"")</f>
        <v>Excelsa</v>
      </c>
      <c r="O684" t="str" cm="1">
        <f t="array" ref="O684">_xlfn.SWITCH(J684,
"M","Medium",
"L","Light",
"D","Dark",
"")</f>
        <v>Medium</v>
      </c>
      <c r="P684" t="str">
        <f>_xlfn.XLOOKUP(Orders[[#This Row],[Customer ID]],customers!$A$1:$A$1001,customers!$I$1:$I$1001,,0)</f>
        <v>Yes</v>
      </c>
    </row>
    <row r="685" spans="1:16" x14ac:dyDescent="0.35">
      <c r="A685" s="2" t="s">
        <v>4348</v>
      </c>
      <c r="B685" s="4">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_xlfn.XLOOKUP(D685,products!$A$1:$A$49,products!$B$1:$B$49,,0)</f>
        <v>Lib</v>
      </c>
      <c r="J685" t="str">
        <f>_xlfn.XLOOKUP(D685,products!$A$1:$A$49,products!$C$1:$C$49,,0)</f>
        <v>D</v>
      </c>
      <c r="K685" s="7">
        <f>_xlfn.XLOOKUP(D685,products!$A$1:$A$49,products!$D$1:$D$49,,0)</f>
        <v>0.5</v>
      </c>
      <c r="L685" s="9">
        <f>_xlfn.XLOOKUP(D685,products!$A$1:$A$49,products!$E$1:$E$49,,0)</f>
        <v>7.77</v>
      </c>
      <c r="M685" s="9">
        <f t="shared" si="10"/>
        <v>46.62</v>
      </c>
      <c r="N685" s="3" t="str" cm="1">
        <f t="array" ref="N685">_xlfn.SWITCH(I685,
"Rob","Robusta",
"Exc","Excelsa",
"Ara","Arabica",
"Lib","Liberica",
"")</f>
        <v>Liberica</v>
      </c>
      <c r="O685" t="str" cm="1">
        <f t="array" ref="O685">_xlfn.SWITCH(J685,
"M","Medium",
"L","Light",
"D","Dark",
"")</f>
        <v>Dark</v>
      </c>
      <c r="P685" t="str">
        <f>_xlfn.XLOOKUP(Orders[[#This Row],[Customer ID]],customers!$A$1:$A$1001,customers!$I$1:$I$1001,,0)</f>
        <v>No</v>
      </c>
    </row>
    <row r="686" spans="1:16" x14ac:dyDescent="0.35">
      <c r="A686" s="2" t="s">
        <v>4354</v>
      </c>
      <c r="B686" s="4">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_xlfn.XLOOKUP(D686,products!$A$1:$A$49,products!$B$1:$B$49,,0)</f>
        <v>Rob</v>
      </c>
      <c r="J686" t="str">
        <f>_xlfn.XLOOKUP(D686,products!$A$1:$A$49,products!$C$1:$C$49,,0)</f>
        <v>L</v>
      </c>
      <c r="K686" s="7">
        <f>_xlfn.XLOOKUP(D686,products!$A$1:$A$49,products!$D$1:$D$49,,0)</f>
        <v>1</v>
      </c>
      <c r="L686" s="9">
        <f>_xlfn.XLOOKUP(D686,products!$A$1:$A$49,products!$E$1:$E$49,,0)</f>
        <v>11.95</v>
      </c>
      <c r="M686" s="9">
        <f t="shared" si="10"/>
        <v>71.699999999999989</v>
      </c>
      <c r="N686" s="3" t="str" cm="1">
        <f t="array" ref="N686">_xlfn.SWITCH(I686,
"Rob","Robusta",
"Exc","Excelsa",
"Ara","Arabica",
"Lib","Liberica",
"")</f>
        <v>Robusta</v>
      </c>
      <c r="O686" t="str" cm="1">
        <f t="array" ref="O686">_xlfn.SWITCH(J686,
"M","Medium",
"L","Light",
"D","Dark",
"")</f>
        <v>Light</v>
      </c>
      <c r="P686" t="str">
        <f>_xlfn.XLOOKUP(Orders[[#This Row],[Customer ID]],customers!$A$1:$A$1001,customers!$I$1:$I$1001,,0)</f>
        <v>No</v>
      </c>
    </row>
    <row r="687" spans="1:16" x14ac:dyDescent="0.35">
      <c r="A687" s="2" t="s">
        <v>4359</v>
      </c>
      <c r="B687" s="4">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_xlfn.XLOOKUP(D687,products!$A$1:$A$49,products!$B$1:$B$49,,0)</f>
        <v>Lib</v>
      </c>
      <c r="J687" t="str">
        <f>_xlfn.XLOOKUP(D687,products!$A$1:$A$49,products!$C$1:$C$49,,0)</f>
        <v>L</v>
      </c>
      <c r="K687" s="7">
        <f>_xlfn.XLOOKUP(D687,products!$A$1:$A$49,products!$D$1:$D$49,,0)</f>
        <v>2.5</v>
      </c>
      <c r="L687" s="9">
        <f>_xlfn.XLOOKUP(D687,products!$A$1:$A$49,products!$E$1:$E$49,,0)</f>
        <v>36.454999999999998</v>
      </c>
      <c r="M687" s="9">
        <f t="shared" si="10"/>
        <v>72.91</v>
      </c>
      <c r="N687" s="3" t="str" cm="1">
        <f t="array" ref="N687">_xlfn.SWITCH(I687,
"Rob","Robusta",
"Exc","Excelsa",
"Ara","Arabica",
"Lib","Liberica",
"")</f>
        <v>Liberica</v>
      </c>
      <c r="O687" t="str" cm="1">
        <f t="array" ref="O687">_xlfn.SWITCH(J687,
"M","Medium",
"L","Light",
"D","Dark",
"")</f>
        <v>Light</v>
      </c>
      <c r="P687" t="str">
        <f>_xlfn.XLOOKUP(Orders[[#This Row],[Customer ID]],customers!$A$1:$A$1001,customers!$I$1:$I$1001,,0)</f>
        <v>Yes</v>
      </c>
    </row>
    <row r="688" spans="1:16" x14ac:dyDescent="0.35">
      <c r="A688" s="2" t="s">
        <v>4365</v>
      </c>
      <c r="B688" s="4">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_xlfn.XLOOKUP(D688,products!$A$1:$A$49,products!$B$1:$B$49,,0)</f>
        <v>Rob</v>
      </c>
      <c r="J688" t="str">
        <f>_xlfn.XLOOKUP(D688,products!$A$1:$A$49,products!$C$1:$C$49,,0)</f>
        <v>D</v>
      </c>
      <c r="K688" s="7">
        <f>_xlfn.XLOOKUP(D688,products!$A$1:$A$49,products!$D$1:$D$49,,0)</f>
        <v>0.2</v>
      </c>
      <c r="L688" s="9">
        <f>_xlfn.XLOOKUP(D688,products!$A$1:$A$49,products!$E$1:$E$49,,0)</f>
        <v>2.6849999999999996</v>
      </c>
      <c r="M688" s="9">
        <f t="shared" si="10"/>
        <v>8.0549999999999997</v>
      </c>
      <c r="N688" s="3" t="str" cm="1">
        <f t="array" ref="N688">_xlfn.SWITCH(I688,
"Rob","Robusta",
"Exc","Excelsa",
"Ara","Arabica",
"Lib","Liberica",
"")</f>
        <v>Robusta</v>
      </c>
      <c r="O688" t="str" cm="1">
        <f t="array" ref="O688">_xlfn.SWITCH(J688,
"M","Medium",
"L","Light",
"D","Dark",
"")</f>
        <v>Dark</v>
      </c>
      <c r="P688" t="str">
        <f>_xlfn.XLOOKUP(Orders[[#This Row],[Customer ID]],customers!$A$1:$A$1001,customers!$I$1:$I$1001,,0)</f>
        <v>Yes</v>
      </c>
    </row>
    <row r="689" spans="1:16" x14ac:dyDescent="0.35">
      <c r="A689" s="2" t="s">
        <v>4371</v>
      </c>
      <c r="B689" s="4">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_xlfn.XLOOKUP(D689,products!$A$1:$A$49,products!$B$1:$B$49,,0)</f>
        <v>Exc</v>
      </c>
      <c r="J689" t="str">
        <f>_xlfn.XLOOKUP(D689,products!$A$1:$A$49,products!$C$1:$C$49,,0)</f>
        <v>M</v>
      </c>
      <c r="K689" s="7">
        <f>_xlfn.XLOOKUP(D689,products!$A$1:$A$49,products!$D$1:$D$49,,0)</f>
        <v>0.5</v>
      </c>
      <c r="L689" s="9">
        <f>_xlfn.XLOOKUP(D689,products!$A$1:$A$49,products!$E$1:$E$49,,0)</f>
        <v>8.25</v>
      </c>
      <c r="M689" s="9">
        <f t="shared" si="10"/>
        <v>16.5</v>
      </c>
      <c r="N689" s="3" t="str" cm="1">
        <f t="array" ref="N689">_xlfn.SWITCH(I689,
"Rob","Robusta",
"Exc","Excelsa",
"Ara","Arabica",
"Lib","Liberica",
"")</f>
        <v>Excelsa</v>
      </c>
      <c r="O689" t="str" cm="1">
        <f t="array" ref="O689">_xlfn.SWITCH(J689,
"M","Medium",
"L","Light",
"D","Dark",
"")</f>
        <v>Medium</v>
      </c>
      <c r="P689" t="str">
        <f>_xlfn.XLOOKUP(Orders[[#This Row],[Customer ID]],customers!$A$1:$A$1001,customers!$I$1:$I$1001,,0)</f>
        <v>No</v>
      </c>
    </row>
    <row r="690" spans="1:16" x14ac:dyDescent="0.35">
      <c r="A690" s="2" t="s">
        <v>4377</v>
      </c>
      <c r="B690" s="4">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_xlfn.XLOOKUP(D690,products!$A$1:$A$49,products!$B$1:$B$49,,0)</f>
        <v>Ara</v>
      </c>
      <c r="J690" t="str">
        <f>_xlfn.XLOOKUP(D690,products!$A$1:$A$49,products!$C$1:$C$49,,0)</f>
        <v>L</v>
      </c>
      <c r="K690" s="7">
        <f>_xlfn.XLOOKUP(D690,products!$A$1:$A$49,products!$D$1:$D$49,,0)</f>
        <v>1</v>
      </c>
      <c r="L690" s="9">
        <f>_xlfn.XLOOKUP(D690,products!$A$1:$A$49,products!$E$1:$E$49,,0)</f>
        <v>12.95</v>
      </c>
      <c r="M690" s="9">
        <f t="shared" si="10"/>
        <v>64.75</v>
      </c>
      <c r="N690" s="3" t="str" cm="1">
        <f t="array" ref="N690">_xlfn.SWITCH(I690,
"Rob","Robusta",
"Exc","Excelsa",
"Ara","Arabica",
"Lib","Liberica",
"")</f>
        <v>Arabica</v>
      </c>
      <c r="O690" t="str" cm="1">
        <f t="array" ref="O690">_xlfn.SWITCH(J690,
"M","Medium",
"L","Light",
"D","Dark",
"")</f>
        <v>Light</v>
      </c>
      <c r="P690" t="str">
        <f>_xlfn.XLOOKUP(Orders[[#This Row],[Customer ID]],customers!$A$1:$A$1001,customers!$I$1:$I$1001,,0)</f>
        <v>No</v>
      </c>
    </row>
    <row r="691" spans="1:16" x14ac:dyDescent="0.35">
      <c r="A691" s="2" t="s">
        <v>4383</v>
      </c>
      <c r="B691" s="4">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_xlfn.XLOOKUP(D691,products!$A$1:$A$49,products!$B$1:$B$49,,0)</f>
        <v>Ara</v>
      </c>
      <c r="J691" t="str">
        <f>_xlfn.XLOOKUP(D691,products!$A$1:$A$49,products!$C$1:$C$49,,0)</f>
        <v>M</v>
      </c>
      <c r="K691" s="7">
        <f>_xlfn.XLOOKUP(D691,products!$A$1:$A$49,products!$D$1:$D$49,,0)</f>
        <v>0.5</v>
      </c>
      <c r="L691" s="9">
        <f>_xlfn.XLOOKUP(D691,products!$A$1:$A$49,products!$E$1:$E$49,,0)</f>
        <v>6.75</v>
      </c>
      <c r="M691" s="9">
        <f t="shared" si="10"/>
        <v>33.75</v>
      </c>
      <c r="N691" s="3" t="str" cm="1">
        <f t="array" ref="N691">_xlfn.SWITCH(I691,
"Rob","Robusta",
"Exc","Excelsa",
"Ara","Arabica",
"Lib","Liberica",
"")</f>
        <v>Arabica</v>
      </c>
      <c r="O691" t="str" cm="1">
        <f t="array" ref="O691">_xlfn.SWITCH(J691,
"M","Medium",
"L","Light",
"D","Dark",
"")</f>
        <v>Medium</v>
      </c>
      <c r="P691" t="str">
        <f>_xlfn.XLOOKUP(Orders[[#This Row],[Customer ID]],customers!$A$1:$A$1001,customers!$I$1:$I$1001,,0)</f>
        <v>No</v>
      </c>
    </row>
    <row r="692" spans="1:16" x14ac:dyDescent="0.35">
      <c r="A692" s="2" t="s">
        <v>4389</v>
      </c>
      <c r="B692" s="4">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_xlfn.XLOOKUP(D692,products!$A$1:$A$49,products!$B$1:$B$49,,0)</f>
        <v>Lib</v>
      </c>
      <c r="J692" t="str">
        <f>_xlfn.XLOOKUP(D692,products!$A$1:$A$49,products!$C$1:$C$49,,0)</f>
        <v>D</v>
      </c>
      <c r="K692" s="7">
        <f>_xlfn.XLOOKUP(D692,products!$A$1:$A$49,products!$D$1:$D$49,,0)</f>
        <v>2.5</v>
      </c>
      <c r="L692" s="9">
        <f>_xlfn.XLOOKUP(D692,products!$A$1:$A$49,products!$E$1:$E$49,,0)</f>
        <v>29.784999999999997</v>
      </c>
      <c r="M692" s="9">
        <f t="shared" si="10"/>
        <v>178.70999999999998</v>
      </c>
      <c r="N692" s="3" t="str" cm="1">
        <f t="array" ref="N692">_xlfn.SWITCH(I692,
"Rob","Robusta",
"Exc","Excelsa",
"Ara","Arabica",
"Lib","Liberica",
"")</f>
        <v>Liberica</v>
      </c>
      <c r="O692" t="str" cm="1">
        <f t="array" ref="O692">_xlfn.SWITCH(J692,
"M","Medium",
"L","Light",
"D","Dark",
"")</f>
        <v>Dark</v>
      </c>
      <c r="P692" t="str">
        <f>_xlfn.XLOOKUP(Orders[[#This Row],[Customer ID]],customers!$A$1:$A$1001,customers!$I$1:$I$1001,,0)</f>
        <v>No</v>
      </c>
    </row>
    <row r="693" spans="1:16" x14ac:dyDescent="0.35">
      <c r="A693" s="2" t="s">
        <v>4393</v>
      </c>
      <c r="B693" s="4">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_xlfn.XLOOKUP(D693,products!$A$1:$A$49,products!$B$1:$B$49,,0)</f>
        <v>Ara</v>
      </c>
      <c r="J693" t="str">
        <f>_xlfn.XLOOKUP(D693,products!$A$1:$A$49,products!$C$1:$C$49,,0)</f>
        <v>M</v>
      </c>
      <c r="K693" s="7">
        <f>_xlfn.XLOOKUP(D693,products!$A$1:$A$49,products!$D$1:$D$49,,0)</f>
        <v>1</v>
      </c>
      <c r="L693" s="9">
        <f>_xlfn.XLOOKUP(D693,products!$A$1:$A$49,products!$E$1:$E$49,,0)</f>
        <v>11.25</v>
      </c>
      <c r="M693" s="9">
        <f t="shared" si="10"/>
        <v>22.5</v>
      </c>
      <c r="N693" s="3" t="str" cm="1">
        <f t="array" ref="N693">_xlfn.SWITCH(I693,
"Rob","Robusta",
"Exc","Excelsa",
"Ara","Arabica",
"Lib","Liberica",
"")</f>
        <v>Arabica</v>
      </c>
      <c r="O693" t="str" cm="1">
        <f t="array" ref="O693">_xlfn.SWITCH(J693,
"M","Medium",
"L","Light",
"D","Dark",
"")</f>
        <v>Medium</v>
      </c>
      <c r="P693" t="str">
        <f>_xlfn.XLOOKUP(Orders[[#This Row],[Customer ID]],customers!$A$1:$A$1001,customers!$I$1:$I$1001,,0)</f>
        <v>No</v>
      </c>
    </row>
    <row r="694" spans="1:16" x14ac:dyDescent="0.35">
      <c r="A694" s="2" t="s">
        <v>4399</v>
      </c>
      <c r="B694" s="4">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_xlfn.XLOOKUP(D694,products!$A$1:$A$49,products!$B$1:$B$49,,0)</f>
        <v>Lib</v>
      </c>
      <c r="J694" t="str">
        <f>_xlfn.XLOOKUP(D694,products!$A$1:$A$49,products!$C$1:$C$49,,0)</f>
        <v>D</v>
      </c>
      <c r="K694" s="7">
        <f>_xlfn.XLOOKUP(D694,products!$A$1:$A$49,products!$D$1:$D$49,,0)</f>
        <v>1</v>
      </c>
      <c r="L694" s="9">
        <f>_xlfn.XLOOKUP(D694,products!$A$1:$A$49,products!$E$1:$E$49,,0)</f>
        <v>12.95</v>
      </c>
      <c r="M694" s="9">
        <f t="shared" si="10"/>
        <v>12.95</v>
      </c>
      <c r="N694" s="3" t="str" cm="1">
        <f t="array" ref="N694">_xlfn.SWITCH(I694,
"Rob","Robusta",
"Exc","Excelsa",
"Ara","Arabica",
"Lib","Liberica",
"")</f>
        <v>Liberica</v>
      </c>
      <c r="O694" t="str" cm="1">
        <f t="array" ref="O694">_xlfn.SWITCH(J694,
"M","Medium",
"L","Light",
"D","Dark",
"")</f>
        <v>Dark</v>
      </c>
      <c r="P694" t="str">
        <f>_xlfn.XLOOKUP(Orders[[#This Row],[Customer ID]],customers!$A$1:$A$1001,customers!$I$1:$I$1001,,0)</f>
        <v>No</v>
      </c>
    </row>
    <row r="695" spans="1:16" x14ac:dyDescent="0.35">
      <c r="A695" s="2" t="s">
        <v>4405</v>
      </c>
      <c r="B695" s="4">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_xlfn.XLOOKUP(D695,products!$A$1:$A$49,products!$B$1:$B$49,,0)</f>
        <v>Ara</v>
      </c>
      <c r="J695" t="str">
        <f>_xlfn.XLOOKUP(D695,products!$A$1:$A$49,products!$C$1:$C$49,,0)</f>
        <v>M</v>
      </c>
      <c r="K695" s="7">
        <f>_xlfn.XLOOKUP(D695,products!$A$1:$A$49,products!$D$1:$D$49,,0)</f>
        <v>2.5</v>
      </c>
      <c r="L695" s="9">
        <f>_xlfn.XLOOKUP(D695,products!$A$1:$A$49,products!$E$1:$E$49,,0)</f>
        <v>25.874999999999996</v>
      </c>
      <c r="M695" s="9">
        <f t="shared" si="10"/>
        <v>51.749999999999993</v>
      </c>
      <c r="N695" s="3" t="str" cm="1">
        <f t="array" ref="N695">_xlfn.SWITCH(I695,
"Rob","Robusta",
"Exc","Excelsa",
"Ara","Arabica",
"Lib","Liberica",
"")</f>
        <v>Arabica</v>
      </c>
      <c r="O695" t="str" cm="1">
        <f t="array" ref="O695">_xlfn.SWITCH(J695,
"M","Medium",
"L","Light",
"D","Dark",
"")</f>
        <v>Medium</v>
      </c>
      <c r="P695" t="str">
        <f>_xlfn.XLOOKUP(Orders[[#This Row],[Customer ID]],customers!$A$1:$A$1001,customers!$I$1:$I$1001,,0)</f>
        <v>Yes</v>
      </c>
    </row>
    <row r="696" spans="1:16" x14ac:dyDescent="0.35">
      <c r="A696" s="2" t="s">
        <v>4411</v>
      </c>
      <c r="B696" s="4">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_xlfn.XLOOKUP(D696,products!$A$1:$A$49,products!$B$1:$B$49,,0)</f>
        <v>Exc</v>
      </c>
      <c r="J696" t="str">
        <f>_xlfn.XLOOKUP(D696,products!$A$1:$A$49,products!$C$1:$C$49,,0)</f>
        <v>D</v>
      </c>
      <c r="K696" s="7">
        <f>_xlfn.XLOOKUP(D696,products!$A$1:$A$49,products!$D$1:$D$49,,0)</f>
        <v>0.5</v>
      </c>
      <c r="L696" s="9">
        <f>_xlfn.XLOOKUP(D696,products!$A$1:$A$49,products!$E$1:$E$49,,0)</f>
        <v>7.29</v>
      </c>
      <c r="M696" s="9">
        <f t="shared" si="10"/>
        <v>36.450000000000003</v>
      </c>
      <c r="N696" s="3" t="str" cm="1">
        <f t="array" ref="N696">_xlfn.SWITCH(I696,
"Rob","Robusta",
"Exc","Excelsa",
"Ara","Arabica",
"Lib","Liberica",
"")</f>
        <v>Excelsa</v>
      </c>
      <c r="O696" t="str" cm="1">
        <f t="array" ref="O696">_xlfn.SWITCH(J696,
"M","Medium",
"L","Light",
"D","Dark",
"")</f>
        <v>Dark</v>
      </c>
      <c r="P696" t="str">
        <f>_xlfn.XLOOKUP(Orders[[#This Row],[Customer ID]],customers!$A$1:$A$1001,customers!$I$1:$I$1001,,0)</f>
        <v>No</v>
      </c>
    </row>
    <row r="697" spans="1:16" x14ac:dyDescent="0.35">
      <c r="A697" s="2" t="s">
        <v>4417</v>
      </c>
      <c r="B697" s="4">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_xlfn.XLOOKUP(D697,products!$A$1:$A$49,products!$B$1:$B$49,,0)</f>
        <v>Lib</v>
      </c>
      <c r="J697" t="str">
        <f>_xlfn.XLOOKUP(D697,products!$A$1:$A$49,products!$C$1:$C$49,,0)</f>
        <v>L</v>
      </c>
      <c r="K697" s="7">
        <f>_xlfn.XLOOKUP(D697,products!$A$1:$A$49,products!$D$1:$D$49,,0)</f>
        <v>2.5</v>
      </c>
      <c r="L697" s="9">
        <f>_xlfn.XLOOKUP(D697,products!$A$1:$A$49,products!$E$1:$E$49,,0)</f>
        <v>36.454999999999998</v>
      </c>
      <c r="M697" s="9">
        <f t="shared" si="10"/>
        <v>182.27499999999998</v>
      </c>
      <c r="N697" s="3" t="str" cm="1">
        <f t="array" ref="N697">_xlfn.SWITCH(I697,
"Rob","Robusta",
"Exc","Excelsa",
"Ara","Arabica",
"Lib","Liberica",
"")</f>
        <v>Liberica</v>
      </c>
      <c r="O697" t="str" cm="1">
        <f t="array" ref="O697">_xlfn.SWITCH(J697,
"M","Medium",
"L","Light",
"D","Dark",
"")</f>
        <v>Light</v>
      </c>
      <c r="P697" t="str">
        <f>_xlfn.XLOOKUP(Orders[[#This Row],[Customer ID]],customers!$A$1:$A$1001,customers!$I$1:$I$1001,,0)</f>
        <v>Yes</v>
      </c>
    </row>
    <row r="698" spans="1:16" x14ac:dyDescent="0.35">
      <c r="A698" s="2" t="s">
        <v>4423</v>
      </c>
      <c r="B698" s="4">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_xlfn.XLOOKUP(D698,products!$A$1:$A$49,products!$B$1:$B$49,,0)</f>
        <v>Lib</v>
      </c>
      <c r="J698" t="str">
        <f>_xlfn.XLOOKUP(D698,products!$A$1:$A$49,products!$C$1:$C$49,,0)</f>
        <v>D</v>
      </c>
      <c r="K698" s="7">
        <f>_xlfn.XLOOKUP(D698,products!$A$1:$A$49,products!$D$1:$D$49,,0)</f>
        <v>0.5</v>
      </c>
      <c r="L698" s="9">
        <f>_xlfn.XLOOKUP(D698,products!$A$1:$A$49,products!$E$1:$E$49,,0)</f>
        <v>7.77</v>
      </c>
      <c r="M698" s="9">
        <f t="shared" si="10"/>
        <v>31.08</v>
      </c>
      <c r="N698" s="3" t="str" cm="1">
        <f t="array" ref="N698">_xlfn.SWITCH(I698,
"Rob","Robusta",
"Exc","Excelsa",
"Ara","Arabica",
"Lib","Liberica",
"")</f>
        <v>Liberica</v>
      </c>
      <c r="O698" t="str" cm="1">
        <f t="array" ref="O698">_xlfn.SWITCH(J698,
"M","Medium",
"L","Light",
"D","Dark",
"")</f>
        <v>Dark</v>
      </c>
      <c r="P698" t="str">
        <f>_xlfn.XLOOKUP(Orders[[#This Row],[Customer ID]],customers!$A$1:$A$1001,customers!$I$1:$I$1001,,0)</f>
        <v>No</v>
      </c>
    </row>
    <row r="699" spans="1:16" x14ac:dyDescent="0.35">
      <c r="A699" s="2" t="s">
        <v>4429</v>
      </c>
      <c r="B699" s="4">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_xlfn.XLOOKUP(D699,products!$A$1:$A$49,products!$B$1:$B$49,,0)</f>
        <v>Ara</v>
      </c>
      <c r="J699" t="str">
        <f>_xlfn.XLOOKUP(D699,products!$A$1:$A$49,products!$C$1:$C$49,,0)</f>
        <v>M</v>
      </c>
      <c r="K699" s="7">
        <f>_xlfn.XLOOKUP(D699,products!$A$1:$A$49,products!$D$1:$D$49,,0)</f>
        <v>0.5</v>
      </c>
      <c r="L699" s="9">
        <f>_xlfn.XLOOKUP(D699,products!$A$1:$A$49,products!$E$1:$E$49,,0)</f>
        <v>6.75</v>
      </c>
      <c r="M699" s="9">
        <f t="shared" si="10"/>
        <v>20.25</v>
      </c>
      <c r="N699" s="3" t="str" cm="1">
        <f t="array" ref="N699">_xlfn.SWITCH(I699,
"Rob","Robusta",
"Exc","Excelsa",
"Ara","Arabica",
"Lib","Liberica",
"")</f>
        <v>Arabica</v>
      </c>
      <c r="O699" t="str" cm="1">
        <f t="array" ref="O699">_xlfn.SWITCH(J699,
"M","Medium",
"L","Light",
"D","Dark",
"")</f>
        <v>Medium</v>
      </c>
      <c r="P699" t="str">
        <f>_xlfn.XLOOKUP(Orders[[#This Row],[Customer ID]],customers!$A$1:$A$1001,customers!$I$1:$I$1001,,0)</f>
        <v>No</v>
      </c>
    </row>
    <row r="700" spans="1:16" x14ac:dyDescent="0.35">
      <c r="A700" s="2" t="s">
        <v>4433</v>
      </c>
      <c r="B700" s="4">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_xlfn.XLOOKUP(D700,products!$A$1:$A$49,products!$B$1:$B$49,,0)</f>
        <v>Lib</v>
      </c>
      <c r="J700" t="str">
        <f>_xlfn.XLOOKUP(D700,products!$A$1:$A$49,products!$C$1:$C$49,,0)</f>
        <v>D</v>
      </c>
      <c r="K700" s="7">
        <f>_xlfn.XLOOKUP(D700,products!$A$1:$A$49,products!$D$1:$D$49,,0)</f>
        <v>1</v>
      </c>
      <c r="L700" s="9">
        <f>_xlfn.XLOOKUP(D700,products!$A$1:$A$49,products!$E$1:$E$49,,0)</f>
        <v>12.95</v>
      </c>
      <c r="M700" s="9">
        <f t="shared" si="10"/>
        <v>25.9</v>
      </c>
      <c r="N700" s="3" t="str" cm="1">
        <f t="array" ref="N700">_xlfn.SWITCH(I700,
"Rob","Robusta",
"Exc","Excelsa",
"Ara","Arabica",
"Lib","Liberica",
"")</f>
        <v>Liberica</v>
      </c>
      <c r="O700" t="str" cm="1">
        <f t="array" ref="O700">_xlfn.SWITCH(J700,
"M","Medium",
"L","Light",
"D","Dark",
"")</f>
        <v>Dark</v>
      </c>
      <c r="P700" t="str">
        <f>_xlfn.XLOOKUP(Orders[[#This Row],[Customer ID]],customers!$A$1:$A$1001,customers!$I$1:$I$1001,,0)</f>
        <v>No</v>
      </c>
    </row>
    <row r="701" spans="1:16" x14ac:dyDescent="0.35">
      <c r="A701" s="2" t="s">
        <v>4439</v>
      </c>
      <c r="B701" s="4">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_xlfn.XLOOKUP(D701,products!$A$1:$A$49,products!$B$1:$B$49,,0)</f>
        <v>Ara</v>
      </c>
      <c r="J701" t="str">
        <f>_xlfn.XLOOKUP(D701,products!$A$1:$A$49,products!$C$1:$C$49,,0)</f>
        <v>D</v>
      </c>
      <c r="K701" s="7">
        <f>_xlfn.XLOOKUP(D701,products!$A$1:$A$49,products!$D$1:$D$49,,0)</f>
        <v>0.5</v>
      </c>
      <c r="L701" s="9">
        <f>_xlfn.XLOOKUP(D701,products!$A$1:$A$49,products!$E$1:$E$49,,0)</f>
        <v>5.97</v>
      </c>
      <c r="M701" s="9">
        <f t="shared" si="10"/>
        <v>23.88</v>
      </c>
      <c r="N701" s="3" t="str" cm="1">
        <f t="array" ref="N701">_xlfn.SWITCH(I701,
"Rob","Robusta",
"Exc","Excelsa",
"Ara","Arabica",
"Lib","Liberica",
"")</f>
        <v>Arabica</v>
      </c>
      <c r="O701" t="str" cm="1">
        <f t="array" ref="O701">_xlfn.SWITCH(J701,
"M","Medium",
"L","Light",
"D","Dark",
"")</f>
        <v>Dark</v>
      </c>
      <c r="P701" t="str">
        <f>_xlfn.XLOOKUP(Orders[[#This Row],[Customer ID]],customers!$A$1:$A$1001,customers!$I$1:$I$1001,,0)</f>
        <v>Yes</v>
      </c>
    </row>
    <row r="702" spans="1:16" x14ac:dyDescent="0.35">
      <c r="A702" s="2" t="s">
        <v>4445</v>
      </c>
      <c r="B702" s="4">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_xlfn.XLOOKUP(D702,products!$A$1:$A$49,products!$B$1:$B$49,,0)</f>
        <v>Lib</v>
      </c>
      <c r="J702" t="str">
        <f>_xlfn.XLOOKUP(D702,products!$A$1:$A$49,products!$C$1:$C$49,,0)</f>
        <v>L</v>
      </c>
      <c r="K702" s="7">
        <f>_xlfn.XLOOKUP(D702,products!$A$1:$A$49,products!$D$1:$D$49,,0)</f>
        <v>0.5</v>
      </c>
      <c r="L702" s="9">
        <f>_xlfn.XLOOKUP(D702,products!$A$1:$A$49,products!$E$1:$E$49,,0)</f>
        <v>9.51</v>
      </c>
      <c r="M702" s="9">
        <f t="shared" si="10"/>
        <v>19.02</v>
      </c>
      <c r="N702" s="3" t="str" cm="1">
        <f t="array" ref="N702">_xlfn.SWITCH(I702,
"Rob","Robusta",
"Exc","Excelsa",
"Ara","Arabica",
"Lib","Liberica",
"")</f>
        <v>Liberica</v>
      </c>
      <c r="O702" t="str" cm="1">
        <f t="array" ref="O702">_xlfn.SWITCH(J702,
"M","Medium",
"L","Light",
"D","Dark",
"")</f>
        <v>Light</v>
      </c>
      <c r="P702" t="str">
        <f>_xlfn.XLOOKUP(Orders[[#This Row],[Customer ID]],customers!$A$1:$A$1001,customers!$I$1:$I$1001,,0)</f>
        <v>No</v>
      </c>
    </row>
    <row r="703" spans="1:16" x14ac:dyDescent="0.35">
      <c r="A703" s="2" t="s">
        <v>4450</v>
      </c>
      <c r="B703" s="4">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_xlfn.XLOOKUP(D703,products!$A$1:$A$49,products!$B$1:$B$49,,0)</f>
        <v>Ara</v>
      </c>
      <c r="J703" t="str">
        <f>_xlfn.XLOOKUP(D703,products!$A$1:$A$49,products!$C$1:$C$49,,0)</f>
        <v>D</v>
      </c>
      <c r="K703" s="7">
        <f>_xlfn.XLOOKUP(D703,products!$A$1:$A$49,products!$D$1:$D$49,,0)</f>
        <v>0.5</v>
      </c>
      <c r="L703" s="9">
        <f>_xlfn.XLOOKUP(D703,products!$A$1:$A$49,products!$E$1:$E$49,,0)</f>
        <v>5.97</v>
      </c>
      <c r="M703" s="9">
        <f t="shared" si="10"/>
        <v>29.849999999999998</v>
      </c>
      <c r="N703" s="3" t="str" cm="1">
        <f t="array" ref="N703">_xlfn.SWITCH(I703,
"Rob","Robusta",
"Exc","Excelsa",
"Ara","Arabica",
"Lib","Liberica",
"")</f>
        <v>Arabica</v>
      </c>
      <c r="O703" t="str" cm="1">
        <f t="array" ref="O703">_xlfn.SWITCH(J703,
"M","Medium",
"L","Light",
"D","Dark",
"")</f>
        <v>Dark</v>
      </c>
      <c r="P703" t="str">
        <f>_xlfn.XLOOKUP(Orders[[#This Row],[Customer ID]],customers!$A$1:$A$1001,customers!$I$1:$I$1001,,0)</f>
        <v>Yes</v>
      </c>
    </row>
    <row r="704" spans="1:16" x14ac:dyDescent="0.35">
      <c r="A704" s="2" t="s">
        <v>4456</v>
      </c>
      <c r="B704" s="4">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_xlfn.XLOOKUP(D704,products!$A$1:$A$49,products!$B$1:$B$49,,0)</f>
        <v>Ara</v>
      </c>
      <c r="J704" t="str">
        <f>_xlfn.XLOOKUP(D704,products!$A$1:$A$49,products!$C$1:$C$49,,0)</f>
        <v>L</v>
      </c>
      <c r="K704" s="7">
        <f>_xlfn.XLOOKUP(D704,products!$A$1:$A$49,products!$D$1:$D$49,,0)</f>
        <v>0.5</v>
      </c>
      <c r="L704" s="9">
        <f>_xlfn.XLOOKUP(D704,products!$A$1:$A$49,products!$E$1:$E$49,,0)</f>
        <v>7.77</v>
      </c>
      <c r="M704" s="9">
        <f t="shared" si="10"/>
        <v>7.77</v>
      </c>
      <c r="N704" s="3" t="str" cm="1">
        <f t="array" ref="N704">_xlfn.SWITCH(I704,
"Rob","Robusta",
"Exc","Excelsa",
"Ara","Arabica",
"Lib","Liberica",
"")</f>
        <v>Arabica</v>
      </c>
      <c r="O704" t="str" cm="1">
        <f t="array" ref="O704">_xlfn.SWITCH(J704,
"M","Medium",
"L","Light",
"D","Dark",
"")</f>
        <v>Light</v>
      </c>
      <c r="P704" t="str">
        <f>_xlfn.XLOOKUP(Orders[[#This Row],[Customer ID]],customers!$A$1:$A$1001,customers!$I$1:$I$1001,,0)</f>
        <v>Yes</v>
      </c>
    </row>
    <row r="705" spans="1:16" x14ac:dyDescent="0.35">
      <c r="A705" s="2" t="s">
        <v>4461</v>
      </c>
      <c r="B705" s="4">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_xlfn.XLOOKUP(D705,products!$A$1:$A$49,products!$B$1:$B$49,,0)</f>
        <v>Lib</v>
      </c>
      <c r="J705" t="str">
        <f>_xlfn.XLOOKUP(D705,products!$A$1:$A$49,products!$C$1:$C$49,,0)</f>
        <v>D</v>
      </c>
      <c r="K705" s="7">
        <f>_xlfn.XLOOKUP(D705,products!$A$1:$A$49,products!$D$1:$D$49,,0)</f>
        <v>2.5</v>
      </c>
      <c r="L705" s="9">
        <f>_xlfn.XLOOKUP(D705,products!$A$1:$A$49,products!$E$1:$E$49,,0)</f>
        <v>29.784999999999997</v>
      </c>
      <c r="M705" s="9">
        <f t="shared" si="10"/>
        <v>119.13999999999999</v>
      </c>
      <c r="N705" s="3" t="str" cm="1">
        <f t="array" ref="N705">_xlfn.SWITCH(I705,
"Rob","Robusta",
"Exc","Excelsa",
"Ara","Arabica",
"Lib","Liberica",
"")</f>
        <v>Liberica</v>
      </c>
      <c r="O705" t="str" cm="1">
        <f t="array" ref="O705">_xlfn.SWITCH(J705,
"M","Medium",
"L","Light",
"D","Dark",
"")</f>
        <v>Dark</v>
      </c>
      <c r="P705" t="str">
        <f>_xlfn.XLOOKUP(Orders[[#This Row],[Customer ID]],customers!$A$1:$A$1001,customers!$I$1:$I$1001,,0)</f>
        <v>Yes</v>
      </c>
    </row>
    <row r="706" spans="1:16" x14ac:dyDescent="0.35">
      <c r="A706" s="2" t="s">
        <v>4466</v>
      </c>
      <c r="B706" s="4">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_xlfn.XLOOKUP(D706,products!$A$1:$A$49,products!$B$1:$B$49,,0)</f>
        <v>Exc</v>
      </c>
      <c r="J706" t="str">
        <f>_xlfn.XLOOKUP(D706,products!$A$1:$A$49,products!$C$1:$C$49,,0)</f>
        <v>D</v>
      </c>
      <c r="K706" s="7">
        <f>_xlfn.XLOOKUP(D706,products!$A$1:$A$49,products!$D$1:$D$49,,0)</f>
        <v>0.2</v>
      </c>
      <c r="L706" s="9">
        <f>_xlfn.XLOOKUP(D706,products!$A$1:$A$49,products!$E$1:$E$49,,0)</f>
        <v>3.645</v>
      </c>
      <c r="M706" s="9">
        <f t="shared" si="10"/>
        <v>21.87</v>
      </c>
      <c r="N706" s="3" t="str" cm="1">
        <f t="array" ref="N706">_xlfn.SWITCH(I706,
"Rob","Robusta",
"Exc","Excelsa",
"Ara","Arabica",
"Lib","Liberica",
"")</f>
        <v>Excelsa</v>
      </c>
      <c r="O706" t="str" cm="1">
        <f t="array" ref="O706">_xlfn.SWITCH(J706,
"M","Medium",
"L","Light",
"D","Dark",
"")</f>
        <v>Dark</v>
      </c>
      <c r="P706" t="str">
        <f>_xlfn.XLOOKUP(Orders[[#This Row],[Customer ID]],customers!$A$1:$A$1001,customers!$I$1:$I$1001,,0)</f>
        <v>Yes</v>
      </c>
    </row>
    <row r="707" spans="1:16" x14ac:dyDescent="0.35">
      <c r="A707" s="2" t="s">
        <v>4471</v>
      </c>
      <c r="B707" s="4">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_xlfn.XLOOKUP(D707,products!$A$1:$A$49,products!$B$1:$B$49,,0)</f>
        <v>Exc</v>
      </c>
      <c r="J707" t="str">
        <f>_xlfn.XLOOKUP(D707,products!$A$1:$A$49,products!$C$1:$C$49,,0)</f>
        <v>L</v>
      </c>
      <c r="K707" s="7">
        <f>_xlfn.XLOOKUP(D707,products!$A$1:$A$49,products!$D$1:$D$49,,0)</f>
        <v>0.5</v>
      </c>
      <c r="L707" s="9">
        <f>_xlfn.XLOOKUP(D707,products!$A$1:$A$49,products!$E$1:$E$49,,0)</f>
        <v>8.91</v>
      </c>
      <c r="M707" s="9">
        <f t="shared" ref="M707:M770" si="11">L707*E707</f>
        <v>17.82</v>
      </c>
      <c r="N707" s="3" t="str" cm="1">
        <f t="array" ref="N707">_xlfn.SWITCH(I707,
"Rob","Robusta",
"Exc","Excelsa",
"Ara","Arabica",
"Lib","Liberica",
"")</f>
        <v>Excelsa</v>
      </c>
      <c r="O707" t="str" cm="1">
        <f t="array" ref="O707">_xlfn.SWITCH(J707,
"M","Medium",
"L","Light",
"D","Dark",
"")</f>
        <v>Light</v>
      </c>
      <c r="P707" t="str">
        <f>_xlfn.XLOOKUP(Orders[[#This Row],[Customer ID]],customers!$A$1:$A$1001,customers!$I$1:$I$1001,,0)</f>
        <v>No</v>
      </c>
    </row>
    <row r="708" spans="1:16" x14ac:dyDescent="0.35">
      <c r="A708" s="2" t="s">
        <v>4477</v>
      </c>
      <c r="B708" s="4">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_xlfn.XLOOKUP(D708,products!$A$1:$A$49,products!$B$1:$B$49,,0)</f>
        <v>Exc</v>
      </c>
      <c r="J708" t="str">
        <f>_xlfn.XLOOKUP(D708,products!$A$1:$A$49,products!$C$1:$C$49,,0)</f>
        <v>M</v>
      </c>
      <c r="K708" s="7">
        <f>_xlfn.XLOOKUP(D708,products!$A$1:$A$49,products!$D$1:$D$49,,0)</f>
        <v>0.2</v>
      </c>
      <c r="L708" s="9">
        <f>_xlfn.XLOOKUP(D708,products!$A$1:$A$49,products!$E$1:$E$49,,0)</f>
        <v>4.125</v>
      </c>
      <c r="M708" s="9">
        <f t="shared" si="11"/>
        <v>12.375</v>
      </c>
      <c r="N708" s="3" t="str" cm="1">
        <f t="array" ref="N708">_xlfn.SWITCH(I708,
"Rob","Robusta",
"Exc","Excelsa",
"Ara","Arabica",
"Lib","Liberica",
"")</f>
        <v>Excelsa</v>
      </c>
      <c r="O708" t="str" cm="1">
        <f t="array" ref="O708">_xlfn.SWITCH(J708,
"M","Medium",
"L","Light",
"D","Dark",
"")</f>
        <v>Medium</v>
      </c>
      <c r="P708" t="str">
        <f>_xlfn.XLOOKUP(Orders[[#This Row],[Customer ID]],customers!$A$1:$A$1001,customers!$I$1:$I$1001,,0)</f>
        <v>No</v>
      </c>
    </row>
    <row r="709" spans="1:16" x14ac:dyDescent="0.35">
      <c r="A709" s="2" t="s">
        <v>4483</v>
      </c>
      <c r="B709" s="4">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_xlfn.XLOOKUP(D709,products!$A$1:$A$49,products!$B$1:$B$49,,0)</f>
        <v>Lib</v>
      </c>
      <c r="J709" t="str">
        <f>_xlfn.XLOOKUP(D709,products!$A$1:$A$49,products!$C$1:$C$49,,0)</f>
        <v>D</v>
      </c>
      <c r="K709" s="7">
        <f>_xlfn.XLOOKUP(D709,products!$A$1:$A$49,products!$D$1:$D$49,,0)</f>
        <v>1</v>
      </c>
      <c r="L709" s="9">
        <f>_xlfn.XLOOKUP(D709,products!$A$1:$A$49,products!$E$1:$E$49,,0)</f>
        <v>12.95</v>
      </c>
      <c r="M709" s="9">
        <f t="shared" si="11"/>
        <v>25.9</v>
      </c>
      <c r="N709" s="3" t="str" cm="1">
        <f t="array" ref="N709">_xlfn.SWITCH(I709,
"Rob","Robusta",
"Exc","Excelsa",
"Ara","Arabica",
"Lib","Liberica",
"")</f>
        <v>Liberica</v>
      </c>
      <c r="O709" t="str" cm="1">
        <f t="array" ref="O709">_xlfn.SWITCH(J709,
"M","Medium",
"L","Light",
"D","Dark",
"")</f>
        <v>Dark</v>
      </c>
      <c r="P709" t="str">
        <f>_xlfn.XLOOKUP(Orders[[#This Row],[Customer ID]],customers!$A$1:$A$1001,customers!$I$1:$I$1001,,0)</f>
        <v>No</v>
      </c>
    </row>
    <row r="710" spans="1:16" x14ac:dyDescent="0.35">
      <c r="A710" s="2" t="s">
        <v>4488</v>
      </c>
      <c r="B710" s="4">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_xlfn.XLOOKUP(D710,products!$A$1:$A$49,products!$B$1:$B$49,,0)</f>
        <v>Ara</v>
      </c>
      <c r="J710" t="str">
        <f>_xlfn.XLOOKUP(D710,products!$A$1:$A$49,products!$C$1:$C$49,,0)</f>
        <v>M</v>
      </c>
      <c r="K710" s="7">
        <f>_xlfn.XLOOKUP(D710,products!$A$1:$A$49,products!$D$1:$D$49,,0)</f>
        <v>0.5</v>
      </c>
      <c r="L710" s="9">
        <f>_xlfn.XLOOKUP(D710,products!$A$1:$A$49,products!$E$1:$E$49,,0)</f>
        <v>6.75</v>
      </c>
      <c r="M710" s="9">
        <f t="shared" si="11"/>
        <v>13.5</v>
      </c>
      <c r="N710" s="3" t="str" cm="1">
        <f t="array" ref="N710">_xlfn.SWITCH(I710,
"Rob","Robusta",
"Exc","Excelsa",
"Ara","Arabica",
"Lib","Liberica",
"")</f>
        <v>Arabica</v>
      </c>
      <c r="O710" t="str" cm="1">
        <f t="array" ref="O710">_xlfn.SWITCH(J710,
"M","Medium",
"L","Light",
"D","Dark",
"")</f>
        <v>Medium</v>
      </c>
      <c r="P710" t="str">
        <f>_xlfn.XLOOKUP(Orders[[#This Row],[Customer ID]],customers!$A$1:$A$1001,customers!$I$1:$I$1001,,0)</f>
        <v>Yes</v>
      </c>
    </row>
    <row r="711" spans="1:16" x14ac:dyDescent="0.35">
      <c r="A711" s="2" t="s">
        <v>4494</v>
      </c>
      <c r="B711" s="4">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_xlfn.XLOOKUP(D711,products!$A$1:$A$49,products!$B$1:$B$49,,0)</f>
        <v>Exc</v>
      </c>
      <c r="J711" t="str">
        <f>_xlfn.XLOOKUP(D711,products!$A$1:$A$49,products!$C$1:$C$49,,0)</f>
        <v>L</v>
      </c>
      <c r="K711" s="7">
        <f>_xlfn.XLOOKUP(D711,products!$A$1:$A$49,products!$D$1:$D$49,,0)</f>
        <v>0.5</v>
      </c>
      <c r="L711" s="9">
        <f>_xlfn.XLOOKUP(D711,products!$A$1:$A$49,products!$E$1:$E$49,,0)</f>
        <v>8.91</v>
      </c>
      <c r="M711" s="9">
        <f t="shared" si="11"/>
        <v>17.82</v>
      </c>
      <c r="N711" s="3" t="str" cm="1">
        <f t="array" ref="N711">_xlfn.SWITCH(I711,
"Rob","Robusta",
"Exc","Excelsa",
"Ara","Arabica",
"Lib","Liberica",
"")</f>
        <v>Excelsa</v>
      </c>
      <c r="O711" t="str" cm="1">
        <f t="array" ref="O711">_xlfn.SWITCH(J711,
"M","Medium",
"L","Light",
"D","Dark",
"")</f>
        <v>Light</v>
      </c>
      <c r="P711" t="str">
        <f>_xlfn.XLOOKUP(Orders[[#This Row],[Customer ID]],customers!$A$1:$A$1001,customers!$I$1:$I$1001,,0)</f>
        <v>Yes</v>
      </c>
    </row>
    <row r="712" spans="1:16" x14ac:dyDescent="0.35">
      <c r="A712" s="2" t="s">
        <v>4499</v>
      </c>
      <c r="B712" s="4">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_xlfn.XLOOKUP(D712,products!$A$1:$A$49,products!$B$1:$B$49,,0)</f>
        <v>Exc</v>
      </c>
      <c r="J712" t="str">
        <f>_xlfn.XLOOKUP(D712,products!$A$1:$A$49,products!$C$1:$C$49,,0)</f>
        <v>M</v>
      </c>
      <c r="K712" s="7">
        <f>_xlfn.XLOOKUP(D712,products!$A$1:$A$49,products!$D$1:$D$49,,0)</f>
        <v>0.5</v>
      </c>
      <c r="L712" s="9">
        <f>_xlfn.XLOOKUP(D712,products!$A$1:$A$49,products!$E$1:$E$49,,0)</f>
        <v>8.25</v>
      </c>
      <c r="M712" s="9">
        <f t="shared" si="11"/>
        <v>24.75</v>
      </c>
      <c r="N712" s="3" t="str" cm="1">
        <f t="array" ref="N712">_xlfn.SWITCH(I712,
"Rob","Robusta",
"Exc","Excelsa",
"Ara","Arabica",
"Lib","Liberica",
"")</f>
        <v>Excelsa</v>
      </c>
      <c r="O712" t="str" cm="1">
        <f t="array" ref="O712">_xlfn.SWITCH(J712,
"M","Medium",
"L","Light",
"D","Dark",
"")</f>
        <v>Medium</v>
      </c>
      <c r="P712" t="str">
        <f>_xlfn.XLOOKUP(Orders[[#This Row],[Customer ID]],customers!$A$1:$A$1001,customers!$I$1:$I$1001,,0)</f>
        <v>No</v>
      </c>
    </row>
    <row r="713" spans="1:16" x14ac:dyDescent="0.35">
      <c r="A713" s="2" t="s">
        <v>4505</v>
      </c>
      <c r="B713" s="4">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_xlfn.XLOOKUP(D713,products!$A$1:$A$49,products!$B$1:$B$49,,0)</f>
        <v>Rob</v>
      </c>
      <c r="J713" t="str">
        <f>_xlfn.XLOOKUP(D713,products!$A$1:$A$49,products!$C$1:$C$49,,0)</f>
        <v>M</v>
      </c>
      <c r="K713" s="7">
        <f>_xlfn.XLOOKUP(D713,products!$A$1:$A$49,products!$D$1:$D$49,,0)</f>
        <v>0.2</v>
      </c>
      <c r="L713" s="9">
        <f>_xlfn.XLOOKUP(D713,products!$A$1:$A$49,products!$E$1:$E$49,,0)</f>
        <v>2.9849999999999999</v>
      </c>
      <c r="M713" s="9">
        <f t="shared" si="11"/>
        <v>17.91</v>
      </c>
      <c r="N713" s="3" t="str" cm="1">
        <f t="array" ref="N713">_xlfn.SWITCH(I713,
"Rob","Robusta",
"Exc","Excelsa",
"Ara","Arabica",
"Lib","Liberica",
"")</f>
        <v>Robusta</v>
      </c>
      <c r="O713" t="str" cm="1">
        <f t="array" ref="O713">_xlfn.SWITCH(J713,
"M","Medium",
"L","Light",
"D","Dark",
"")</f>
        <v>Medium</v>
      </c>
      <c r="P713" t="str">
        <f>_xlfn.XLOOKUP(Orders[[#This Row],[Customer ID]],customers!$A$1:$A$1001,customers!$I$1:$I$1001,,0)</f>
        <v>No</v>
      </c>
    </row>
    <row r="714" spans="1:16" x14ac:dyDescent="0.35">
      <c r="A714" s="2" t="s">
        <v>4512</v>
      </c>
      <c r="B714" s="4">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_xlfn.XLOOKUP(D714,products!$A$1:$A$49,products!$B$1:$B$49,,0)</f>
        <v>Exc</v>
      </c>
      <c r="J714" t="str">
        <f>_xlfn.XLOOKUP(D714,products!$A$1:$A$49,products!$C$1:$C$49,,0)</f>
        <v>M</v>
      </c>
      <c r="K714" s="7">
        <f>_xlfn.XLOOKUP(D714,products!$A$1:$A$49,products!$D$1:$D$49,,0)</f>
        <v>0.5</v>
      </c>
      <c r="L714" s="9">
        <f>_xlfn.XLOOKUP(D714,products!$A$1:$A$49,products!$E$1:$E$49,,0)</f>
        <v>8.25</v>
      </c>
      <c r="M714" s="9">
        <f t="shared" si="11"/>
        <v>16.5</v>
      </c>
      <c r="N714" s="3" t="str" cm="1">
        <f t="array" ref="N714">_xlfn.SWITCH(I714,
"Rob","Robusta",
"Exc","Excelsa",
"Ara","Arabica",
"Lib","Liberica",
"")</f>
        <v>Excelsa</v>
      </c>
      <c r="O714" t="str" cm="1">
        <f t="array" ref="O714">_xlfn.SWITCH(J714,
"M","Medium",
"L","Light",
"D","Dark",
"")</f>
        <v>Medium</v>
      </c>
      <c r="P714" t="str">
        <f>_xlfn.XLOOKUP(Orders[[#This Row],[Customer ID]],customers!$A$1:$A$1001,customers!$I$1:$I$1001,,0)</f>
        <v>No</v>
      </c>
    </row>
    <row r="715" spans="1:16" x14ac:dyDescent="0.35">
      <c r="A715" s="2" t="s">
        <v>4516</v>
      </c>
      <c r="B715" s="4">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_xlfn.XLOOKUP(D715,products!$A$1:$A$49,products!$B$1:$B$49,,0)</f>
        <v>Rob</v>
      </c>
      <c r="J715" t="str">
        <f>_xlfn.XLOOKUP(D715,products!$A$1:$A$49,products!$C$1:$C$49,,0)</f>
        <v>M</v>
      </c>
      <c r="K715" s="7">
        <f>_xlfn.XLOOKUP(D715,products!$A$1:$A$49,products!$D$1:$D$49,,0)</f>
        <v>0.2</v>
      </c>
      <c r="L715" s="9">
        <f>_xlfn.XLOOKUP(D715,products!$A$1:$A$49,products!$E$1:$E$49,,0)</f>
        <v>2.9849999999999999</v>
      </c>
      <c r="M715" s="9">
        <f t="shared" si="11"/>
        <v>2.9849999999999999</v>
      </c>
      <c r="N715" s="3" t="str" cm="1">
        <f t="array" ref="N715">_xlfn.SWITCH(I715,
"Rob","Robusta",
"Exc","Excelsa",
"Ara","Arabica",
"Lib","Liberica",
"")</f>
        <v>Robusta</v>
      </c>
      <c r="O715" t="str" cm="1">
        <f t="array" ref="O715">_xlfn.SWITCH(J715,
"M","Medium",
"L","Light",
"D","Dark",
"")</f>
        <v>Medium</v>
      </c>
      <c r="P715" t="str">
        <f>_xlfn.XLOOKUP(Orders[[#This Row],[Customer ID]],customers!$A$1:$A$1001,customers!$I$1:$I$1001,,0)</f>
        <v>No</v>
      </c>
    </row>
    <row r="716" spans="1:16" x14ac:dyDescent="0.35">
      <c r="A716" s="2" t="s">
        <v>4522</v>
      </c>
      <c r="B716" s="4">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_xlfn.XLOOKUP(D716,products!$A$1:$A$49,products!$B$1:$B$49,,0)</f>
        <v>Exc</v>
      </c>
      <c r="J716" t="str">
        <f>_xlfn.XLOOKUP(D716,products!$A$1:$A$49,products!$C$1:$C$49,,0)</f>
        <v>D</v>
      </c>
      <c r="K716" s="7">
        <f>_xlfn.XLOOKUP(D716,products!$A$1:$A$49,products!$D$1:$D$49,,0)</f>
        <v>0.2</v>
      </c>
      <c r="L716" s="9">
        <f>_xlfn.XLOOKUP(D716,products!$A$1:$A$49,products!$E$1:$E$49,,0)</f>
        <v>3.645</v>
      </c>
      <c r="M716" s="9">
        <f t="shared" si="11"/>
        <v>14.58</v>
      </c>
      <c r="N716" s="3" t="str" cm="1">
        <f t="array" ref="N716">_xlfn.SWITCH(I716,
"Rob","Robusta",
"Exc","Excelsa",
"Ara","Arabica",
"Lib","Liberica",
"")</f>
        <v>Excelsa</v>
      </c>
      <c r="O716" t="str" cm="1">
        <f t="array" ref="O716">_xlfn.SWITCH(J716,
"M","Medium",
"L","Light",
"D","Dark",
"")</f>
        <v>Dark</v>
      </c>
      <c r="P716" t="str">
        <f>_xlfn.XLOOKUP(Orders[[#This Row],[Customer ID]],customers!$A$1:$A$1001,customers!$I$1:$I$1001,,0)</f>
        <v>Yes</v>
      </c>
    </row>
    <row r="717" spans="1:16" x14ac:dyDescent="0.35">
      <c r="A717" s="2" t="s">
        <v>4528</v>
      </c>
      <c r="B717" s="4">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_xlfn.XLOOKUP(D717,products!$A$1:$A$49,products!$B$1:$B$49,,0)</f>
        <v>Exc</v>
      </c>
      <c r="J717" t="str">
        <f>_xlfn.XLOOKUP(D717,products!$A$1:$A$49,products!$C$1:$C$49,,0)</f>
        <v>L</v>
      </c>
      <c r="K717" s="7">
        <f>_xlfn.XLOOKUP(D717,products!$A$1:$A$49,products!$D$1:$D$49,,0)</f>
        <v>1</v>
      </c>
      <c r="L717" s="9">
        <f>_xlfn.XLOOKUP(D717,products!$A$1:$A$49,products!$E$1:$E$49,,0)</f>
        <v>14.85</v>
      </c>
      <c r="M717" s="9">
        <f t="shared" si="11"/>
        <v>89.1</v>
      </c>
      <c r="N717" s="3" t="str" cm="1">
        <f t="array" ref="N717">_xlfn.SWITCH(I717,
"Rob","Robusta",
"Exc","Excelsa",
"Ara","Arabica",
"Lib","Liberica",
"")</f>
        <v>Excelsa</v>
      </c>
      <c r="O717" t="str" cm="1">
        <f t="array" ref="O717">_xlfn.SWITCH(J717,
"M","Medium",
"L","Light",
"D","Dark",
"")</f>
        <v>Light</v>
      </c>
      <c r="P717" t="str">
        <f>_xlfn.XLOOKUP(Orders[[#This Row],[Customer ID]],customers!$A$1:$A$1001,customers!$I$1:$I$1001,,0)</f>
        <v>No</v>
      </c>
    </row>
    <row r="718" spans="1:16" x14ac:dyDescent="0.35">
      <c r="A718" s="2" t="s">
        <v>4533</v>
      </c>
      <c r="B718" s="4">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_xlfn.XLOOKUP(D718,products!$A$1:$A$49,products!$B$1:$B$49,,0)</f>
        <v>Rob</v>
      </c>
      <c r="J718" t="str">
        <f>_xlfn.XLOOKUP(D718,products!$A$1:$A$49,products!$C$1:$C$49,,0)</f>
        <v>L</v>
      </c>
      <c r="K718" s="7">
        <f>_xlfn.XLOOKUP(D718,products!$A$1:$A$49,products!$D$1:$D$49,,0)</f>
        <v>1</v>
      </c>
      <c r="L718" s="9">
        <f>_xlfn.XLOOKUP(D718,products!$A$1:$A$49,products!$E$1:$E$49,,0)</f>
        <v>11.95</v>
      </c>
      <c r="M718" s="9">
        <f t="shared" si="11"/>
        <v>35.849999999999994</v>
      </c>
      <c r="N718" s="3" t="str" cm="1">
        <f t="array" ref="N718">_xlfn.SWITCH(I718,
"Rob","Robusta",
"Exc","Excelsa",
"Ara","Arabica",
"Lib","Liberica",
"")</f>
        <v>Robusta</v>
      </c>
      <c r="O718" t="str" cm="1">
        <f t="array" ref="O718">_xlfn.SWITCH(J718,
"M","Medium",
"L","Light",
"D","Dark",
"")</f>
        <v>Light</v>
      </c>
      <c r="P718" t="str">
        <f>_xlfn.XLOOKUP(Orders[[#This Row],[Customer ID]],customers!$A$1:$A$1001,customers!$I$1:$I$1001,,0)</f>
        <v>No</v>
      </c>
    </row>
    <row r="719" spans="1:16" x14ac:dyDescent="0.35">
      <c r="A719" s="2" t="s">
        <v>4539</v>
      </c>
      <c r="B719" s="4">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_xlfn.XLOOKUP(D719,products!$A$1:$A$49,products!$B$1:$B$49,,0)</f>
        <v>Ara</v>
      </c>
      <c r="J719" t="str">
        <f>_xlfn.XLOOKUP(D719,products!$A$1:$A$49,products!$C$1:$C$49,,0)</f>
        <v>D</v>
      </c>
      <c r="K719" s="7">
        <f>_xlfn.XLOOKUP(D719,products!$A$1:$A$49,products!$D$1:$D$49,,0)</f>
        <v>2.5</v>
      </c>
      <c r="L719" s="9">
        <f>_xlfn.XLOOKUP(D719,products!$A$1:$A$49,products!$E$1:$E$49,,0)</f>
        <v>22.884999999999998</v>
      </c>
      <c r="M719" s="9">
        <f t="shared" si="11"/>
        <v>68.655000000000001</v>
      </c>
      <c r="N719" s="3" t="str" cm="1">
        <f t="array" ref="N719">_xlfn.SWITCH(I719,
"Rob","Robusta",
"Exc","Excelsa",
"Ara","Arabica",
"Lib","Liberica",
"")</f>
        <v>Arabica</v>
      </c>
      <c r="O719" t="str" cm="1">
        <f t="array" ref="O719">_xlfn.SWITCH(J719,
"M","Medium",
"L","Light",
"D","Dark",
"")</f>
        <v>Dark</v>
      </c>
      <c r="P719" t="str">
        <f>_xlfn.XLOOKUP(Orders[[#This Row],[Customer ID]],customers!$A$1:$A$1001,customers!$I$1:$I$1001,,0)</f>
        <v>No</v>
      </c>
    </row>
    <row r="720" spans="1:16" x14ac:dyDescent="0.35">
      <c r="A720" s="2" t="s">
        <v>4545</v>
      </c>
      <c r="B720" s="4">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_xlfn.XLOOKUP(D720,products!$A$1:$A$49,products!$B$1:$B$49,,0)</f>
        <v>Lib</v>
      </c>
      <c r="J720" t="str">
        <f>_xlfn.XLOOKUP(D720,products!$A$1:$A$49,products!$C$1:$C$49,,0)</f>
        <v>D</v>
      </c>
      <c r="K720" s="7">
        <f>_xlfn.XLOOKUP(D720,products!$A$1:$A$49,products!$D$1:$D$49,,0)</f>
        <v>1</v>
      </c>
      <c r="L720" s="9">
        <f>_xlfn.XLOOKUP(D720,products!$A$1:$A$49,products!$E$1:$E$49,,0)</f>
        <v>12.95</v>
      </c>
      <c r="M720" s="9">
        <f t="shared" si="11"/>
        <v>38.849999999999994</v>
      </c>
      <c r="N720" s="3" t="str" cm="1">
        <f t="array" ref="N720">_xlfn.SWITCH(I720,
"Rob","Robusta",
"Exc","Excelsa",
"Ara","Arabica",
"Lib","Liberica",
"")</f>
        <v>Liberica</v>
      </c>
      <c r="O720" t="str" cm="1">
        <f t="array" ref="O720">_xlfn.SWITCH(J720,
"M","Medium",
"L","Light",
"D","Dark",
"")</f>
        <v>Dark</v>
      </c>
      <c r="P720" t="str">
        <f>_xlfn.XLOOKUP(Orders[[#This Row],[Customer ID]],customers!$A$1:$A$1001,customers!$I$1:$I$1001,,0)</f>
        <v>No</v>
      </c>
    </row>
    <row r="721" spans="1:16" x14ac:dyDescent="0.35">
      <c r="A721" s="2" t="s">
        <v>4551</v>
      </c>
      <c r="B721" s="4">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_xlfn.XLOOKUP(D721,products!$A$1:$A$49,products!$B$1:$B$49,,0)</f>
        <v>Lib</v>
      </c>
      <c r="J721" t="str">
        <f>_xlfn.XLOOKUP(D721,products!$A$1:$A$49,products!$C$1:$C$49,,0)</f>
        <v>L</v>
      </c>
      <c r="K721" s="7">
        <f>_xlfn.XLOOKUP(D721,products!$A$1:$A$49,products!$D$1:$D$49,,0)</f>
        <v>1</v>
      </c>
      <c r="L721" s="9">
        <f>_xlfn.XLOOKUP(D721,products!$A$1:$A$49,products!$E$1:$E$49,,0)</f>
        <v>15.85</v>
      </c>
      <c r="M721" s="9">
        <f t="shared" si="11"/>
        <v>79.25</v>
      </c>
      <c r="N721" s="3" t="str" cm="1">
        <f t="array" ref="N721">_xlfn.SWITCH(I721,
"Rob","Robusta",
"Exc","Excelsa",
"Ara","Arabica",
"Lib","Liberica",
"")</f>
        <v>Liberica</v>
      </c>
      <c r="O721" t="str" cm="1">
        <f t="array" ref="O721">_xlfn.SWITCH(J721,
"M","Medium",
"L","Light",
"D","Dark",
"")</f>
        <v>Light</v>
      </c>
      <c r="P721" t="str">
        <f>_xlfn.XLOOKUP(Orders[[#This Row],[Customer ID]],customers!$A$1:$A$1001,customers!$I$1:$I$1001,,0)</f>
        <v>Yes</v>
      </c>
    </row>
    <row r="722" spans="1:16" x14ac:dyDescent="0.35">
      <c r="A722" s="2" t="s">
        <v>4557</v>
      </c>
      <c r="B722" s="4">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_xlfn.XLOOKUP(D722,products!$A$1:$A$49,products!$B$1:$B$49,,0)</f>
        <v>Exc</v>
      </c>
      <c r="J722" t="str">
        <f>_xlfn.XLOOKUP(D722,products!$A$1:$A$49,products!$C$1:$C$49,,0)</f>
        <v>D</v>
      </c>
      <c r="K722" s="7">
        <f>_xlfn.XLOOKUP(D722,products!$A$1:$A$49,products!$D$1:$D$49,,0)</f>
        <v>0.5</v>
      </c>
      <c r="L722" s="9">
        <f>_xlfn.XLOOKUP(D722,products!$A$1:$A$49,products!$E$1:$E$49,,0)</f>
        <v>7.29</v>
      </c>
      <c r="M722" s="9">
        <f t="shared" si="11"/>
        <v>36.450000000000003</v>
      </c>
      <c r="N722" s="3" t="str" cm="1">
        <f t="array" ref="N722">_xlfn.SWITCH(I722,
"Rob","Robusta",
"Exc","Excelsa",
"Ara","Arabica",
"Lib","Liberica",
"")</f>
        <v>Excelsa</v>
      </c>
      <c r="O722" t="str" cm="1">
        <f t="array" ref="O722">_xlfn.SWITCH(J722,
"M","Medium",
"L","Light",
"D","Dark",
"")</f>
        <v>Dark</v>
      </c>
      <c r="P722" t="str">
        <f>_xlfn.XLOOKUP(Orders[[#This Row],[Customer ID]],customers!$A$1:$A$1001,customers!$I$1:$I$1001,,0)</f>
        <v>Yes</v>
      </c>
    </row>
    <row r="723" spans="1:16" x14ac:dyDescent="0.35">
      <c r="A723" s="2" t="s">
        <v>4563</v>
      </c>
      <c r="B723" s="4">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_xlfn.XLOOKUP(D723,products!$A$1:$A$49,products!$B$1:$B$49,,0)</f>
        <v>Rob</v>
      </c>
      <c r="J723" t="str">
        <f>_xlfn.XLOOKUP(D723,products!$A$1:$A$49,products!$C$1:$C$49,,0)</f>
        <v>M</v>
      </c>
      <c r="K723" s="7">
        <f>_xlfn.XLOOKUP(D723,products!$A$1:$A$49,products!$D$1:$D$49,,0)</f>
        <v>0.2</v>
      </c>
      <c r="L723" s="9">
        <f>_xlfn.XLOOKUP(D723,products!$A$1:$A$49,products!$E$1:$E$49,,0)</f>
        <v>2.9849999999999999</v>
      </c>
      <c r="M723" s="9">
        <f t="shared" si="11"/>
        <v>8.9550000000000001</v>
      </c>
      <c r="N723" s="3" t="str" cm="1">
        <f t="array" ref="N723">_xlfn.SWITCH(I723,
"Rob","Robusta",
"Exc","Excelsa",
"Ara","Arabica",
"Lib","Liberica",
"")</f>
        <v>Robusta</v>
      </c>
      <c r="O723" t="str" cm="1">
        <f t="array" ref="O723">_xlfn.SWITCH(J723,
"M","Medium",
"L","Light",
"D","Dark",
"")</f>
        <v>Medium</v>
      </c>
      <c r="P723" t="str">
        <f>_xlfn.XLOOKUP(Orders[[#This Row],[Customer ID]],customers!$A$1:$A$1001,customers!$I$1:$I$1001,,0)</f>
        <v>Yes</v>
      </c>
    </row>
    <row r="724" spans="1:16" x14ac:dyDescent="0.35">
      <c r="A724" s="2" t="s">
        <v>4569</v>
      </c>
      <c r="B724" s="4">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_xlfn.XLOOKUP(D724,products!$A$1:$A$49,products!$B$1:$B$49,,0)</f>
        <v>Exc</v>
      </c>
      <c r="J724" t="str">
        <f>_xlfn.XLOOKUP(D724,products!$A$1:$A$49,products!$C$1:$C$49,,0)</f>
        <v>D</v>
      </c>
      <c r="K724" s="7">
        <f>_xlfn.XLOOKUP(D724,products!$A$1:$A$49,products!$D$1:$D$49,,0)</f>
        <v>1</v>
      </c>
      <c r="L724" s="9">
        <f>_xlfn.XLOOKUP(D724,products!$A$1:$A$49,products!$E$1:$E$49,,0)</f>
        <v>12.15</v>
      </c>
      <c r="M724" s="9">
        <f t="shared" si="11"/>
        <v>24.3</v>
      </c>
      <c r="N724" s="3" t="str" cm="1">
        <f t="array" ref="N724">_xlfn.SWITCH(I724,
"Rob","Robusta",
"Exc","Excelsa",
"Ara","Arabica",
"Lib","Liberica",
"")</f>
        <v>Excelsa</v>
      </c>
      <c r="O724" t="str" cm="1">
        <f t="array" ref="O724">_xlfn.SWITCH(J724,
"M","Medium",
"L","Light",
"D","Dark",
"")</f>
        <v>Dark</v>
      </c>
      <c r="P724" t="str">
        <f>_xlfn.XLOOKUP(Orders[[#This Row],[Customer ID]],customers!$A$1:$A$1001,customers!$I$1:$I$1001,,0)</f>
        <v>No</v>
      </c>
    </row>
    <row r="725" spans="1:16" x14ac:dyDescent="0.35">
      <c r="A725" s="2" t="s">
        <v>4574</v>
      </c>
      <c r="B725" s="4">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_xlfn.XLOOKUP(D725,products!$A$1:$A$49,products!$B$1:$B$49,,0)</f>
        <v>Exc</v>
      </c>
      <c r="J725" t="str">
        <f>_xlfn.XLOOKUP(D725,products!$A$1:$A$49,products!$C$1:$C$49,,0)</f>
        <v>M</v>
      </c>
      <c r="K725" s="7">
        <f>_xlfn.XLOOKUP(D725,products!$A$1:$A$49,products!$D$1:$D$49,,0)</f>
        <v>2.5</v>
      </c>
      <c r="L725" s="9">
        <f>_xlfn.XLOOKUP(D725,products!$A$1:$A$49,products!$E$1:$E$49,,0)</f>
        <v>31.624999999999996</v>
      </c>
      <c r="M725" s="9">
        <f t="shared" si="11"/>
        <v>63.249999999999993</v>
      </c>
      <c r="N725" s="3" t="str" cm="1">
        <f t="array" ref="N725">_xlfn.SWITCH(I725,
"Rob","Robusta",
"Exc","Excelsa",
"Ara","Arabica",
"Lib","Liberica",
"")</f>
        <v>Excelsa</v>
      </c>
      <c r="O725" t="str" cm="1">
        <f t="array" ref="O725">_xlfn.SWITCH(J725,
"M","Medium",
"L","Light",
"D","Dark",
"")</f>
        <v>Medium</v>
      </c>
      <c r="P725" t="str">
        <f>_xlfn.XLOOKUP(Orders[[#This Row],[Customer ID]],customers!$A$1:$A$1001,customers!$I$1:$I$1001,,0)</f>
        <v>No</v>
      </c>
    </row>
    <row r="726" spans="1:16" x14ac:dyDescent="0.35">
      <c r="A726" s="2" t="s">
        <v>4580</v>
      </c>
      <c r="B726" s="4">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_xlfn.XLOOKUP(D726,products!$A$1:$A$49,products!$B$1:$B$49,,0)</f>
        <v>Ara</v>
      </c>
      <c r="J726" t="str">
        <f>_xlfn.XLOOKUP(D726,products!$A$1:$A$49,products!$C$1:$C$49,,0)</f>
        <v>M</v>
      </c>
      <c r="K726" s="7">
        <f>_xlfn.XLOOKUP(D726,products!$A$1:$A$49,products!$D$1:$D$49,,0)</f>
        <v>0.2</v>
      </c>
      <c r="L726" s="9">
        <f>_xlfn.XLOOKUP(D726,products!$A$1:$A$49,products!$E$1:$E$49,,0)</f>
        <v>3.375</v>
      </c>
      <c r="M726" s="9">
        <f t="shared" si="11"/>
        <v>6.75</v>
      </c>
      <c r="N726" s="3" t="str" cm="1">
        <f t="array" ref="N726">_xlfn.SWITCH(I726,
"Rob","Robusta",
"Exc","Excelsa",
"Ara","Arabica",
"Lib","Liberica",
"")</f>
        <v>Arabica</v>
      </c>
      <c r="O726" t="str" cm="1">
        <f t="array" ref="O726">_xlfn.SWITCH(J726,
"M","Medium",
"L","Light",
"D","Dark",
"")</f>
        <v>Medium</v>
      </c>
      <c r="P726" t="str">
        <f>_xlfn.XLOOKUP(Orders[[#This Row],[Customer ID]],customers!$A$1:$A$1001,customers!$I$1:$I$1001,,0)</f>
        <v>Yes</v>
      </c>
    </row>
    <row r="727" spans="1:16" x14ac:dyDescent="0.35">
      <c r="A727" s="2" t="s">
        <v>4585</v>
      </c>
      <c r="B727" s="4">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_xlfn.XLOOKUP(D727,products!$A$1:$A$49,products!$B$1:$B$49,,0)</f>
        <v>Ara</v>
      </c>
      <c r="J727" t="str">
        <f>_xlfn.XLOOKUP(D727,products!$A$1:$A$49,products!$C$1:$C$49,,0)</f>
        <v>L</v>
      </c>
      <c r="K727" s="7">
        <f>_xlfn.XLOOKUP(D727,products!$A$1:$A$49,products!$D$1:$D$49,,0)</f>
        <v>0.2</v>
      </c>
      <c r="L727" s="9">
        <f>_xlfn.XLOOKUP(D727,products!$A$1:$A$49,products!$E$1:$E$49,,0)</f>
        <v>3.8849999999999998</v>
      </c>
      <c r="M727" s="9">
        <f t="shared" si="11"/>
        <v>23.31</v>
      </c>
      <c r="N727" s="3" t="str" cm="1">
        <f t="array" ref="N727">_xlfn.SWITCH(I727,
"Rob","Robusta",
"Exc","Excelsa",
"Ara","Arabica",
"Lib","Liberica",
"")</f>
        <v>Arabica</v>
      </c>
      <c r="O727" t="str" cm="1">
        <f t="array" ref="O727">_xlfn.SWITCH(J727,
"M","Medium",
"L","Light",
"D","Dark",
"")</f>
        <v>Light</v>
      </c>
      <c r="P727" t="str">
        <f>_xlfn.XLOOKUP(Orders[[#This Row],[Customer ID]],customers!$A$1:$A$1001,customers!$I$1:$I$1001,,0)</f>
        <v>No</v>
      </c>
    </row>
    <row r="728" spans="1:16" x14ac:dyDescent="0.35">
      <c r="A728" s="2" t="s">
        <v>4591</v>
      </c>
      <c r="B728" s="4">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_xlfn.XLOOKUP(D728,products!$A$1:$A$49,products!$B$1:$B$49,,0)</f>
        <v>Lib</v>
      </c>
      <c r="J728" t="str">
        <f>_xlfn.XLOOKUP(D728,products!$A$1:$A$49,products!$C$1:$C$49,,0)</f>
        <v>L</v>
      </c>
      <c r="K728" s="7">
        <f>_xlfn.XLOOKUP(D728,products!$A$1:$A$49,products!$D$1:$D$49,,0)</f>
        <v>2.5</v>
      </c>
      <c r="L728" s="9">
        <f>_xlfn.XLOOKUP(D728,products!$A$1:$A$49,products!$E$1:$E$49,,0)</f>
        <v>36.454999999999998</v>
      </c>
      <c r="M728" s="9">
        <f t="shared" si="11"/>
        <v>145.82</v>
      </c>
      <c r="N728" s="3" t="str" cm="1">
        <f t="array" ref="N728">_xlfn.SWITCH(I728,
"Rob","Robusta",
"Exc","Excelsa",
"Ara","Arabica",
"Lib","Liberica",
"")</f>
        <v>Liberica</v>
      </c>
      <c r="O728" t="str" cm="1">
        <f t="array" ref="O728">_xlfn.SWITCH(J728,
"M","Medium",
"L","Light",
"D","Dark",
"")</f>
        <v>Light</v>
      </c>
      <c r="P728" t="str">
        <f>_xlfn.XLOOKUP(Orders[[#This Row],[Customer ID]],customers!$A$1:$A$1001,customers!$I$1:$I$1001,,0)</f>
        <v>No</v>
      </c>
    </row>
    <row r="729" spans="1:16" x14ac:dyDescent="0.35">
      <c r="A729" s="2" t="s">
        <v>4596</v>
      </c>
      <c r="B729" s="4">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_xlfn.XLOOKUP(D729,products!$A$1:$A$49,products!$B$1:$B$49,,0)</f>
        <v>Rob</v>
      </c>
      <c r="J729" t="str">
        <f>_xlfn.XLOOKUP(D729,products!$A$1:$A$49,products!$C$1:$C$49,,0)</f>
        <v>M</v>
      </c>
      <c r="K729" s="7">
        <f>_xlfn.XLOOKUP(D729,products!$A$1:$A$49,products!$D$1:$D$49,,0)</f>
        <v>0.5</v>
      </c>
      <c r="L729" s="9">
        <f>_xlfn.XLOOKUP(D729,products!$A$1:$A$49,products!$E$1:$E$49,,0)</f>
        <v>5.97</v>
      </c>
      <c r="M729" s="9">
        <f t="shared" si="11"/>
        <v>29.849999999999998</v>
      </c>
      <c r="N729" s="3" t="str" cm="1">
        <f t="array" ref="N729">_xlfn.SWITCH(I729,
"Rob","Robusta",
"Exc","Excelsa",
"Ara","Arabica",
"Lib","Liberica",
"")</f>
        <v>Robusta</v>
      </c>
      <c r="O729" t="str" cm="1">
        <f t="array" ref="O729">_xlfn.SWITCH(J729,
"M","Medium",
"L","Light",
"D","Dark",
"")</f>
        <v>Medium</v>
      </c>
      <c r="P729" t="str">
        <f>_xlfn.XLOOKUP(Orders[[#This Row],[Customer ID]],customers!$A$1:$A$1001,customers!$I$1:$I$1001,,0)</f>
        <v>Yes</v>
      </c>
    </row>
    <row r="730" spans="1:16" x14ac:dyDescent="0.35">
      <c r="A730" s="2" t="s">
        <v>4602</v>
      </c>
      <c r="B730" s="4">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_xlfn.XLOOKUP(D730,products!$A$1:$A$49,products!$B$1:$B$49,,0)</f>
        <v>Exc</v>
      </c>
      <c r="J730" t="str">
        <f>_xlfn.XLOOKUP(D730,products!$A$1:$A$49,products!$C$1:$C$49,,0)</f>
        <v>D</v>
      </c>
      <c r="K730" s="7">
        <f>_xlfn.XLOOKUP(D730,products!$A$1:$A$49,products!$D$1:$D$49,,0)</f>
        <v>0.5</v>
      </c>
      <c r="L730" s="9">
        <f>_xlfn.XLOOKUP(D730,products!$A$1:$A$49,products!$E$1:$E$49,,0)</f>
        <v>7.29</v>
      </c>
      <c r="M730" s="9">
        <f t="shared" si="11"/>
        <v>21.87</v>
      </c>
      <c r="N730" s="3" t="str" cm="1">
        <f t="array" ref="N730">_xlfn.SWITCH(I730,
"Rob","Robusta",
"Exc","Excelsa",
"Ara","Arabica",
"Lib","Liberica",
"")</f>
        <v>Excelsa</v>
      </c>
      <c r="O730" t="str" cm="1">
        <f t="array" ref="O730">_xlfn.SWITCH(J730,
"M","Medium",
"L","Light",
"D","Dark",
"")</f>
        <v>Dark</v>
      </c>
      <c r="P730" t="str">
        <f>_xlfn.XLOOKUP(Orders[[#This Row],[Customer ID]],customers!$A$1:$A$1001,customers!$I$1:$I$1001,,0)</f>
        <v>Yes</v>
      </c>
    </row>
    <row r="731" spans="1:16" x14ac:dyDescent="0.35">
      <c r="A731" s="2" t="s">
        <v>4608</v>
      </c>
      <c r="B731" s="4">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_xlfn.XLOOKUP(D731,products!$A$1:$A$49,products!$B$1:$B$49,,0)</f>
        <v>Lib</v>
      </c>
      <c r="J731" t="str">
        <f>_xlfn.XLOOKUP(D731,products!$A$1:$A$49,products!$C$1:$C$49,,0)</f>
        <v>M</v>
      </c>
      <c r="K731" s="7">
        <f>_xlfn.XLOOKUP(D731,products!$A$1:$A$49,products!$D$1:$D$49,,0)</f>
        <v>0.2</v>
      </c>
      <c r="L731" s="9">
        <f>_xlfn.XLOOKUP(D731,products!$A$1:$A$49,products!$E$1:$E$49,,0)</f>
        <v>4.3650000000000002</v>
      </c>
      <c r="M731" s="9">
        <f t="shared" si="11"/>
        <v>4.3650000000000002</v>
      </c>
      <c r="N731" s="3" t="str" cm="1">
        <f t="array" ref="N731">_xlfn.SWITCH(I731,
"Rob","Robusta",
"Exc","Excelsa",
"Ara","Arabica",
"Lib","Liberica",
"")</f>
        <v>Liberica</v>
      </c>
      <c r="O731" t="str" cm="1">
        <f t="array" ref="O731">_xlfn.SWITCH(J731,
"M","Medium",
"L","Light",
"D","Dark",
"")</f>
        <v>Medium</v>
      </c>
      <c r="P731" t="str">
        <f>_xlfn.XLOOKUP(Orders[[#This Row],[Customer ID]],customers!$A$1:$A$1001,customers!$I$1:$I$1001,,0)</f>
        <v>No</v>
      </c>
    </row>
    <row r="732" spans="1:16" x14ac:dyDescent="0.35">
      <c r="A732" s="2" t="s">
        <v>4614</v>
      </c>
      <c r="B732" s="4">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_xlfn.XLOOKUP(D732,products!$A$1:$A$49,products!$B$1:$B$49,,0)</f>
        <v>Lib</v>
      </c>
      <c r="J732" t="str">
        <f>_xlfn.XLOOKUP(D732,products!$A$1:$A$49,products!$C$1:$C$49,,0)</f>
        <v>L</v>
      </c>
      <c r="K732" s="7">
        <f>_xlfn.XLOOKUP(D732,products!$A$1:$A$49,products!$D$1:$D$49,,0)</f>
        <v>2.5</v>
      </c>
      <c r="L732" s="9">
        <f>_xlfn.XLOOKUP(D732,products!$A$1:$A$49,products!$E$1:$E$49,,0)</f>
        <v>36.454999999999998</v>
      </c>
      <c r="M732" s="9">
        <f t="shared" si="11"/>
        <v>36.454999999999998</v>
      </c>
      <c r="N732" s="3" t="str" cm="1">
        <f t="array" ref="N732">_xlfn.SWITCH(I732,
"Rob","Robusta",
"Exc","Excelsa",
"Ara","Arabica",
"Lib","Liberica",
"")</f>
        <v>Liberica</v>
      </c>
      <c r="O732" t="str" cm="1">
        <f t="array" ref="O732">_xlfn.SWITCH(J732,
"M","Medium",
"L","Light",
"D","Dark",
"")</f>
        <v>Light</v>
      </c>
      <c r="P732" t="str">
        <f>_xlfn.XLOOKUP(Orders[[#This Row],[Customer ID]],customers!$A$1:$A$1001,customers!$I$1:$I$1001,,0)</f>
        <v>No</v>
      </c>
    </row>
    <row r="733" spans="1:16" x14ac:dyDescent="0.35">
      <c r="A733" s="2" t="s">
        <v>4620</v>
      </c>
      <c r="B733" s="4">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_xlfn.XLOOKUP(D733,products!$A$1:$A$49,products!$B$1:$B$49,,0)</f>
        <v>Lib</v>
      </c>
      <c r="J733" t="str">
        <f>_xlfn.XLOOKUP(D733,products!$A$1:$A$49,products!$C$1:$C$49,,0)</f>
        <v>D</v>
      </c>
      <c r="K733" s="7">
        <f>_xlfn.XLOOKUP(D733,products!$A$1:$A$49,products!$D$1:$D$49,,0)</f>
        <v>0.2</v>
      </c>
      <c r="L733" s="9">
        <f>_xlfn.XLOOKUP(D733,products!$A$1:$A$49,products!$E$1:$E$49,,0)</f>
        <v>3.8849999999999998</v>
      </c>
      <c r="M733" s="9">
        <f t="shared" si="11"/>
        <v>15.54</v>
      </c>
      <c r="N733" s="3" t="str" cm="1">
        <f t="array" ref="N733">_xlfn.SWITCH(I733,
"Rob","Robusta",
"Exc","Excelsa",
"Ara","Arabica",
"Lib","Liberica",
"")</f>
        <v>Liberica</v>
      </c>
      <c r="O733" t="str" cm="1">
        <f t="array" ref="O733">_xlfn.SWITCH(J733,
"M","Medium",
"L","Light",
"D","Dark",
"")</f>
        <v>Dark</v>
      </c>
      <c r="P733" t="str">
        <f>_xlfn.XLOOKUP(Orders[[#This Row],[Customer ID]],customers!$A$1:$A$1001,customers!$I$1:$I$1001,,0)</f>
        <v>Yes</v>
      </c>
    </row>
    <row r="734" spans="1:16" x14ac:dyDescent="0.35">
      <c r="A734" s="2" t="s">
        <v>4625</v>
      </c>
      <c r="B734" s="4">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_xlfn.XLOOKUP(D734,products!$A$1:$A$49,products!$B$1:$B$49,,0)</f>
        <v>Exc</v>
      </c>
      <c r="J734" t="str">
        <f>_xlfn.XLOOKUP(D734,products!$A$1:$A$49,products!$C$1:$C$49,,0)</f>
        <v>L</v>
      </c>
      <c r="K734" s="7">
        <f>_xlfn.XLOOKUP(D734,products!$A$1:$A$49,products!$D$1:$D$49,,0)</f>
        <v>0.2</v>
      </c>
      <c r="L734" s="9">
        <f>_xlfn.XLOOKUP(D734,products!$A$1:$A$49,products!$E$1:$E$49,,0)</f>
        <v>4.4550000000000001</v>
      </c>
      <c r="M734" s="9">
        <f t="shared" si="11"/>
        <v>8.91</v>
      </c>
      <c r="N734" s="3" t="str" cm="1">
        <f t="array" ref="N734">_xlfn.SWITCH(I734,
"Rob","Robusta",
"Exc","Excelsa",
"Ara","Arabica",
"Lib","Liberica",
"")</f>
        <v>Excelsa</v>
      </c>
      <c r="O734" t="str" cm="1">
        <f t="array" ref="O734">_xlfn.SWITCH(J734,
"M","Medium",
"L","Light",
"D","Dark",
"")</f>
        <v>Light</v>
      </c>
      <c r="P734" t="str">
        <f>_xlfn.XLOOKUP(Orders[[#This Row],[Customer ID]],customers!$A$1:$A$1001,customers!$I$1:$I$1001,,0)</f>
        <v>No</v>
      </c>
    </row>
    <row r="735" spans="1:16" x14ac:dyDescent="0.35">
      <c r="A735" s="2" t="s">
        <v>4631</v>
      </c>
      <c r="B735" s="4">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_xlfn.XLOOKUP(D735,products!$A$1:$A$49,products!$B$1:$B$49,,0)</f>
        <v>Lib</v>
      </c>
      <c r="J735" t="str">
        <f>_xlfn.XLOOKUP(D735,products!$A$1:$A$49,products!$C$1:$C$49,,0)</f>
        <v>M</v>
      </c>
      <c r="K735" s="7">
        <f>_xlfn.XLOOKUP(D735,products!$A$1:$A$49,products!$D$1:$D$49,,0)</f>
        <v>2.5</v>
      </c>
      <c r="L735" s="9">
        <f>_xlfn.XLOOKUP(D735,products!$A$1:$A$49,products!$E$1:$E$49,,0)</f>
        <v>33.464999999999996</v>
      </c>
      <c r="M735" s="9">
        <f t="shared" si="11"/>
        <v>100.39499999999998</v>
      </c>
      <c r="N735" s="3" t="str" cm="1">
        <f t="array" ref="N735">_xlfn.SWITCH(I735,
"Rob","Robusta",
"Exc","Excelsa",
"Ara","Arabica",
"Lib","Liberica",
"")</f>
        <v>Liberica</v>
      </c>
      <c r="O735" t="str" cm="1">
        <f t="array" ref="O735">_xlfn.SWITCH(J735,
"M","Medium",
"L","Light",
"D","Dark",
"")</f>
        <v>Medium</v>
      </c>
      <c r="P735" t="str">
        <f>_xlfn.XLOOKUP(Orders[[#This Row],[Customer ID]],customers!$A$1:$A$1001,customers!$I$1:$I$1001,,0)</f>
        <v>Yes</v>
      </c>
    </row>
    <row r="736" spans="1:16" x14ac:dyDescent="0.35">
      <c r="A736" s="2" t="s">
        <v>4637</v>
      </c>
      <c r="B736" s="4">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_xlfn.XLOOKUP(D736,products!$A$1:$A$49,products!$B$1:$B$49,,0)</f>
        <v>Rob</v>
      </c>
      <c r="J736" t="str">
        <f>_xlfn.XLOOKUP(D736,products!$A$1:$A$49,products!$C$1:$C$49,,0)</f>
        <v>D</v>
      </c>
      <c r="K736" s="7">
        <f>_xlfn.XLOOKUP(D736,products!$A$1:$A$49,products!$D$1:$D$49,,0)</f>
        <v>0.2</v>
      </c>
      <c r="L736" s="9">
        <f>_xlfn.XLOOKUP(D736,products!$A$1:$A$49,products!$E$1:$E$49,,0)</f>
        <v>2.6849999999999996</v>
      </c>
      <c r="M736" s="9">
        <f t="shared" si="11"/>
        <v>13.424999999999997</v>
      </c>
      <c r="N736" s="3" t="str" cm="1">
        <f t="array" ref="N736">_xlfn.SWITCH(I736,
"Rob","Robusta",
"Exc","Excelsa",
"Ara","Arabica",
"Lib","Liberica",
"")</f>
        <v>Robusta</v>
      </c>
      <c r="O736" t="str" cm="1">
        <f t="array" ref="O736">_xlfn.SWITCH(J736,
"M","Medium",
"L","Light",
"D","Dark",
"")</f>
        <v>Dark</v>
      </c>
      <c r="P736" t="str">
        <f>_xlfn.XLOOKUP(Orders[[#This Row],[Customer ID]],customers!$A$1:$A$1001,customers!$I$1:$I$1001,,0)</f>
        <v>No</v>
      </c>
    </row>
    <row r="737" spans="1:16" x14ac:dyDescent="0.35">
      <c r="A737" s="2" t="s">
        <v>4642</v>
      </c>
      <c r="B737" s="4">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_xlfn.XLOOKUP(D737,products!$A$1:$A$49,products!$B$1:$B$49,,0)</f>
        <v>Exc</v>
      </c>
      <c r="J737" t="str">
        <f>_xlfn.XLOOKUP(D737,products!$A$1:$A$49,products!$C$1:$C$49,,0)</f>
        <v>D</v>
      </c>
      <c r="K737" s="7">
        <f>_xlfn.XLOOKUP(D737,products!$A$1:$A$49,products!$D$1:$D$49,,0)</f>
        <v>0.2</v>
      </c>
      <c r="L737" s="9">
        <f>_xlfn.XLOOKUP(D737,products!$A$1:$A$49,products!$E$1:$E$49,,0)</f>
        <v>3.645</v>
      </c>
      <c r="M737" s="9">
        <f t="shared" si="11"/>
        <v>21.87</v>
      </c>
      <c r="N737" s="3" t="str" cm="1">
        <f t="array" ref="N737">_xlfn.SWITCH(I737,
"Rob","Robusta",
"Exc","Excelsa",
"Ara","Arabica",
"Lib","Liberica",
"")</f>
        <v>Excelsa</v>
      </c>
      <c r="O737" t="str" cm="1">
        <f t="array" ref="O737">_xlfn.SWITCH(J737,
"M","Medium",
"L","Light",
"D","Dark",
"")</f>
        <v>Dark</v>
      </c>
      <c r="P737" t="str">
        <f>_xlfn.XLOOKUP(Orders[[#This Row],[Customer ID]],customers!$A$1:$A$1001,customers!$I$1:$I$1001,,0)</f>
        <v>No</v>
      </c>
    </row>
    <row r="738" spans="1:16" x14ac:dyDescent="0.35">
      <c r="A738" s="2" t="s">
        <v>4647</v>
      </c>
      <c r="B738" s="4">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_xlfn.XLOOKUP(D738,products!$A$1:$A$49,products!$B$1:$B$49,,0)</f>
        <v>Lib</v>
      </c>
      <c r="J738" t="str">
        <f>_xlfn.XLOOKUP(D738,products!$A$1:$A$49,products!$C$1:$C$49,,0)</f>
        <v>D</v>
      </c>
      <c r="K738" s="7">
        <f>_xlfn.XLOOKUP(D738,products!$A$1:$A$49,products!$D$1:$D$49,,0)</f>
        <v>1</v>
      </c>
      <c r="L738" s="9">
        <f>_xlfn.XLOOKUP(D738,products!$A$1:$A$49,products!$E$1:$E$49,,0)</f>
        <v>12.95</v>
      </c>
      <c r="M738" s="9">
        <f t="shared" si="11"/>
        <v>25.9</v>
      </c>
      <c r="N738" s="3" t="str" cm="1">
        <f t="array" ref="N738">_xlfn.SWITCH(I738,
"Rob","Robusta",
"Exc","Excelsa",
"Ara","Arabica",
"Lib","Liberica",
"")</f>
        <v>Liberica</v>
      </c>
      <c r="O738" t="str" cm="1">
        <f t="array" ref="O738">_xlfn.SWITCH(J738,
"M","Medium",
"L","Light",
"D","Dark",
"")</f>
        <v>Dark</v>
      </c>
      <c r="P738" t="str">
        <f>_xlfn.XLOOKUP(Orders[[#This Row],[Customer ID]],customers!$A$1:$A$1001,customers!$I$1:$I$1001,,0)</f>
        <v>Yes</v>
      </c>
    </row>
    <row r="739" spans="1:16" x14ac:dyDescent="0.35">
      <c r="A739" s="2" t="s">
        <v>4653</v>
      </c>
      <c r="B739" s="4">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_xlfn.XLOOKUP(D739,products!$A$1:$A$49,products!$B$1:$B$49,,0)</f>
        <v>Ara</v>
      </c>
      <c r="J739" t="str">
        <f>_xlfn.XLOOKUP(D739,products!$A$1:$A$49,products!$C$1:$C$49,,0)</f>
        <v>M</v>
      </c>
      <c r="K739" s="7">
        <f>_xlfn.XLOOKUP(D739,products!$A$1:$A$49,products!$D$1:$D$49,,0)</f>
        <v>1</v>
      </c>
      <c r="L739" s="9">
        <f>_xlfn.XLOOKUP(D739,products!$A$1:$A$49,products!$E$1:$E$49,,0)</f>
        <v>11.25</v>
      </c>
      <c r="M739" s="9">
        <f t="shared" si="11"/>
        <v>56.25</v>
      </c>
      <c r="N739" s="3" t="str" cm="1">
        <f t="array" ref="N739">_xlfn.SWITCH(I739,
"Rob","Robusta",
"Exc","Excelsa",
"Ara","Arabica",
"Lib","Liberica",
"")</f>
        <v>Arabica</v>
      </c>
      <c r="O739" t="str" cm="1">
        <f t="array" ref="O739">_xlfn.SWITCH(J739,
"M","Medium",
"L","Light",
"D","Dark",
"")</f>
        <v>Medium</v>
      </c>
      <c r="P739" t="str">
        <f>_xlfn.XLOOKUP(Orders[[#This Row],[Customer ID]],customers!$A$1:$A$1001,customers!$I$1:$I$1001,,0)</f>
        <v>No</v>
      </c>
    </row>
    <row r="740" spans="1:16" x14ac:dyDescent="0.35">
      <c r="A740" s="2" t="s">
        <v>4659</v>
      </c>
      <c r="B740" s="4">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_xlfn.XLOOKUP(D740,products!$A$1:$A$49,products!$B$1:$B$49,,0)</f>
        <v>Rob</v>
      </c>
      <c r="J740" t="str">
        <f>_xlfn.XLOOKUP(D740,products!$A$1:$A$49,products!$C$1:$C$49,,0)</f>
        <v>L</v>
      </c>
      <c r="K740" s="7">
        <f>_xlfn.XLOOKUP(D740,products!$A$1:$A$49,products!$D$1:$D$49,,0)</f>
        <v>0.2</v>
      </c>
      <c r="L740" s="9">
        <f>_xlfn.XLOOKUP(D740,products!$A$1:$A$49,products!$E$1:$E$49,,0)</f>
        <v>3.5849999999999995</v>
      </c>
      <c r="M740" s="9">
        <f t="shared" si="11"/>
        <v>10.754999999999999</v>
      </c>
      <c r="N740" s="3" t="str" cm="1">
        <f t="array" ref="N740">_xlfn.SWITCH(I740,
"Rob","Robusta",
"Exc","Excelsa",
"Ara","Arabica",
"Lib","Liberica",
"")</f>
        <v>Robusta</v>
      </c>
      <c r="O740" t="str" cm="1">
        <f t="array" ref="O740">_xlfn.SWITCH(J740,
"M","Medium",
"L","Light",
"D","Dark",
"")</f>
        <v>Light</v>
      </c>
      <c r="P740" t="str">
        <f>_xlfn.XLOOKUP(Orders[[#This Row],[Customer ID]],customers!$A$1:$A$1001,customers!$I$1:$I$1001,,0)</f>
        <v>No</v>
      </c>
    </row>
    <row r="741" spans="1:16" x14ac:dyDescent="0.35">
      <c r="A741" s="2" t="s">
        <v>4665</v>
      </c>
      <c r="B741" s="4">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_xlfn.XLOOKUP(D741,products!$A$1:$A$49,products!$B$1:$B$49,,0)</f>
        <v>Exc</v>
      </c>
      <c r="J741" t="str">
        <f>_xlfn.XLOOKUP(D741,products!$A$1:$A$49,products!$C$1:$C$49,,0)</f>
        <v>D</v>
      </c>
      <c r="K741" s="7">
        <f>_xlfn.XLOOKUP(D741,products!$A$1:$A$49,products!$D$1:$D$49,,0)</f>
        <v>0.2</v>
      </c>
      <c r="L741" s="9">
        <f>_xlfn.XLOOKUP(D741,products!$A$1:$A$49,products!$E$1:$E$49,,0)</f>
        <v>3.645</v>
      </c>
      <c r="M741" s="9">
        <f t="shared" si="11"/>
        <v>18.225000000000001</v>
      </c>
      <c r="N741" s="3" t="str" cm="1">
        <f t="array" ref="N741">_xlfn.SWITCH(I741,
"Rob","Robusta",
"Exc","Excelsa",
"Ara","Arabica",
"Lib","Liberica",
"")</f>
        <v>Excelsa</v>
      </c>
      <c r="O741" t="str" cm="1">
        <f t="array" ref="O741">_xlfn.SWITCH(J741,
"M","Medium",
"L","Light",
"D","Dark",
"")</f>
        <v>Dark</v>
      </c>
      <c r="P741" t="str">
        <f>_xlfn.XLOOKUP(Orders[[#This Row],[Customer ID]],customers!$A$1:$A$1001,customers!$I$1:$I$1001,,0)</f>
        <v>No</v>
      </c>
    </row>
    <row r="742" spans="1:16" x14ac:dyDescent="0.35">
      <c r="A742" s="2" t="s">
        <v>4670</v>
      </c>
      <c r="B742" s="4">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_xlfn.XLOOKUP(D742,products!$A$1:$A$49,products!$B$1:$B$49,,0)</f>
        <v>Rob</v>
      </c>
      <c r="J742" t="str">
        <f>_xlfn.XLOOKUP(D742,products!$A$1:$A$49,products!$C$1:$C$49,,0)</f>
        <v>L</v>
      </c>
      <c r="K742" s="7">
        <f>_xlfn.XLOOKUP(D742,products!$A$1:$A$49,products!$D$1:$D$49,,0)</f>
        <v>0.5</v>
      </c>
      <c r="L742" s="9">
        <f>_xlfn.XLOOKUP(D742,products!$A$1:$A$49,products!$E$1:$E$49,,0)</f>
        <v>7.169999999999999</v>
      </c>
      <c r="M742" s="9">
        <f t="shared" si="11"/>
        <v>28.679999999999996</v>
      </c>
      <c r="N742" s="3" t="str" cm="1">
        <f t="array" ref="N742">_xlfn.SWITCH(I742,
"Rob","Robusta",
"Exc","Excelsa",
"Ara","Arabica",
"Lib","Liberica",
"")</f>
        <v>Robusta</v>
      </c>
      <c r="O742" t="str" cm="1">
        <f t="array" ref="O742">_xlfn.SWITCH(J742,
"M","Medium",
"L","Light",
"D","Dark",
"")</f>
        <v>Light</v>
      </c>
      <c r="P742" t="str">
        <f>_xlfn.XLOOKUP(Orders[[#This Row],[Customer ID]],customers!$A$1:$A$1001,customers!$I$1:$I$1001,,0)</f>
        <v>No</v>
      </c>
    </row>
    <row r="743" spans="1:16" x14ac:dyDescent="0.35">
      <c r="A743" s="2" t="s">
        <v>4676</v>
      </c>
      <c r="B743" s="4">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_xlfn.XLOOKUP(D743,products!$A$1:$A$49,products!$B$1:$B$49,,0)</f>
        <v>Lib</v>
      </c>
      <c r="J743" t="str">
        <f>_xlfn.XLOOKUP(D743,products!$A$1:$A$49,products!$C$1:$C$49,,0)</f>
        <v>M</v>
      </c>
      <c r="K743" s="7">
        <f>_xlfn.XLOOKUP(D743,products!$A$1:$A$49,products!$D$1:$D$49,,0)</f>
        <v>0.2</v>
      </c>
      <c r="L743" s="9">
        <f>_xlfn.XLOOKUP(D743,products!$A$1:$A$49,products!$E$1:$E$49,,0)</f>
        <v>4.3650000000000002</v>
      </c>
      <c r="M743" s="9">
        <f t="shared" si="11"/>
        <v>8.73</v>
      </c>
      <c r="N743" s="3" t="str" cm="1">
        <f t="array" ref="N743">_xlfn.SWITCH(I743,
"Rob","Robusta",
"Exc","Excelsa",
"Ara","Arabica",
"Lib","Liberica",
"")</f>
        <v>Liberica</v>
      </c>
      <c r="O743" t="str" cm="1">
        <f t="array" ref="O743">_xlfn.SWITCH(J743,
"M","Medium",
"L","Light",
"D","Dark",
"")</f>
        <v>Medium</v>
      </c>
      <c r="P743" t="str">
        <f>_xlfn.XLOOKUP(Orders[[#This Row],[Customer ID]],customers!$A$1:$A$1001,customers!$I$1:$I$1001,,0)</f>
        <v>No</v>
      </c>
    </row>
    <row r="744" spans="1:16" x14ac:dyDescent="0.35">
      <c r="A744" s="2" t="s">
        <v>4682</v>
      </c>
      <c r="B744" s="4">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_xlfn.XLOOKUP(D744,products!$A$1:$A$49,products!$B$1:$B$49,,0)</f>
        <v>Lib</v>
      </c>
      <c r="J744" t="str">
        <f>_xlfn.XLOOKUP(D744,products!$A$1:$A$49,products!$C$1:$C$49,,0)</f>
        <v>M</v>
      </c>
      <c r="K744" s="7">
        <f>_xlfn.XLOOKUP(D744,products!$A$1:$A$49,products!$D$1:$D$49,,0)</f>
        <v>1</v>
      </c>
      <c r="L744" s="9">
        <f>_xlfn.XLOOKUP(D744,products!$A$1:$A$49,products!$E$1:$E$49,,0)</f>
        <v>14.55</v>
      </c>
      <c r="M744" s="9">
        <f t="shared" si="11"/>
        <v>58.2</v>
      </c>
      <c r="N744" s="3" t="str" cm="1">
        <f t="array" ref="N744">_xlfn.SWITCH(I744,
"Rob","Robusta",
"Exc","Excelsa",
"Ara","Arabica",
"Lib","Liberica",
"")</f>
        <v>Liberica</v>
      </c>
      <c r="O744" t="str" cm="1">
        <f t="array" ref="O744">_xlfn.SWITCH(J744,
"M","Medium",
"L","Light",
"D","Dark",
"")</f>
        <v>Medium</v>
      </c>
      <c r="P744" t="str">
        <f>_xlfn.XLOOKUP(Orders[[#This Row],[Customer ID]],customers!$A$1:$A$1001,customers!$I$1:$I$1001,,0)</f>
        <v>No</v>
      </c>
    </row>
    <row r="745" spans="1:16" x14ac:dyDescent="0.35">
      <c r="A745" s="2" t="s">
        <v>4688</v>
      </c>
      <c r="B745" s="4">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_xlfn.XLOOKUP(D745,products!$A$1:$A$49,products!$B$1:$B$49,,0)</f>
        <v>Ara</v>
      </c>
      <c r="J745" t="str">
        <f>_xlfn.XLOOKUP(D745,products!$A$1:$A$49,products!$C$1:$C$49,,0)</f>
        <v>D</v>
      </c>
      <c r="K745" s="7">
        <f>_xlfn.XLOOKUP(D745,products!$A$1:$A$49,products!$D$1:$D$49,,0)</f>
        <v>0.5</v>
      </c>
      <c r="L745" s="9">
        <f>_xlfn.XLOOKUP(D745,products!$A$1:$A$49,products!$E$1:$E$49,,0)</f>
        <v>5.97</v>
      </c>
      <c r="M745" s="9">
        <f t="shared" si="11"/>
        <v>17.91</v>
      </c>
      <c r="N745" s="3" t="str" cm="1">
        <f t="array" ref="N745">_xlfn.SWITCH(I745,
"Rob","Robusta",
"Exc","Excelsa",
"Ara","Arabica",
"Lib","Liberica",
"")</f>
        <v>Arabica</v>
      </c>
      <c r="O745" t="str" cm="1">
        <f t="array" ref="O745">_xlfn.SWITCH(J745,
"M","Medium",
"L","Light",
"D","Dark",
"")</f>
        <v>Dark</v>
      </c>
      <c r="P745" t="str">
        <f>_xlfn.XLOOKUP(Orders[[#This Row],[Customer ID]],customers!$A$1:$A$1001,customers!$I$1:$I$1001,,0)</f>
        <v>No</v>
      </c>
    </row>
    <row r="746" spans="1:16" x14ac:dyDescent="0.35">
      <c r="A746" s="2" t="s">
        <v>4694</v>
      </c>
      <c r="B746" s="4">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_xlfn.XLOOKUP(D746,products!$A$1:$A$49,products!$B$1:$B$49,,0)</f>
        <v>Rob</v>
      </c>
      <c r="J746" t="str">
        <f>_xlfn.XLOOKUP(D746,products!$A$1:$A$49,products!$C$1:$C$49,,0)</f>
        <v>M</v>
      </c>
      <c r="K746" s="7">
        <f>_xlfn.XLOOKUP(D746,products!$A$1:$A$49,products!$D$1:$D$49,,0)</f>
        <v>0.2</v>
      </c>
      <c r="L746" s="9">
        <f>_xlfn.XLOOKUP(D746,products!$A$1:$A$49,products!$E$1:$E$49,,0)</f>
        <v>2.9849999999999999</v>
      </c>
      <c r="M746" s="9">
        <f t="shared" si="11"/>
        <v>17.91</v>
      </c>
      <c r="N746" s="3" t="str" cm="1">
        <f t="array" ref="N746">_xlfn.SWITCH(I746,
"Rob","Robusta",
"Exc","Excelsa",
"Ara","Arabica",
"Lib","Liberica",
"")</f>
        <v>Robusta</v>
      </c>
      <c r="O746" t="str" cm="1">
        <f t="array" ref="O746">_xlfn.SWITCH(J746,
"M","Medium",
"L","Light",
"D","Dark",
"")</f>
        <v>Medium</v>
      </c>
      <c r="P746" t="str">
        <f>_xlfn.XLOOKUP(Orders[[#This Row],[Customer ID]],customers!$A$1:$A$1001,customers!$I$1:$I$1001,,0)</f>
        <v>Yes</v>
      </c>
    </row>
    <row r="747" spans="1:16" x14ac:dyDescent="0.35">
      <c r="A747" s="2" t="s">
        <v>4699</v>
      </c>
      <c r="B747" s="4">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_xlfn.XLOOKUP(D747,products!$A$1:$A$49,products!$B$1:$B$49,,0)</f>
        <v>Exc</v>
      </c>
      <c r="J747" t="str">
        <f>_xlfn.XLOOKUP(D747,products!$A$1:$A$49,products!$C$1:$C$49,,0)</f>
        <v>D</v>
      </c>
      <c r="K747" s="7">
        <f>_xlfn.XLOOKUP(D747,products!$A$1:$A$49,products!$D$1:$D$49,,0)</f>
        <v>0.5</v>
      </c>
      <c r="L747" s="9">
        <f>_xlfn.XLOOKUP(D747,products!$A$1:$A$49,products!$E$1:$E$49,,0)</f>
        <v>7.29</v>
      </c>
      <c r="M747" s="9">
        <f t="shared" si="11"/>
        <v>14.58</v>
      </c>
      <c r="N747" s="3" t="str" cm="1">
        <f t="array" ref="N747">_xlfn.SWITCH(I747,
"Rob","Robusta",
"Exc","Excelsa",
"Ara","Arabica",
"Lib","Liberica",
"")</f>
        <v>Excelsa</v>
      </c>
      <c r="O747" t="str" cm="1">
        <f t="array" ref="O747">_xlfn.SWITCH(J747,
"M","Medium",
"L","Light",
"D","Dark",
"")</f>
        <v>Dark</v>
      </c>
      <c r="P747" t="str">
        <f>_xlfn.XLOOKUP(Orders[[#This Row],[Customer ID]],customers!$A$1:$A$1001,customers!$I$1:$I$1001,,0)</f>
        <v>No</v>
      </c>
    </row>
    <row r="748" spans="1:16" x14ac:dyDescent="0.35">
      <c r="A748" s="2" t="s">
        <v>4705</v>
      </c>
      <c r="B748" s="4">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_xlfn.XLOOKUP(D748,products!$A$1:$A$49,products!$B$1:$B$49,,0)</f>
        <v>Ara</v>
      </c>
      <c r="J748" t="str">
        <f>_xlfn.XLOOKUP(D748,products!$A$1:$A$49,products!$C$1:$C$49,,0)</f>
        <v>M</v>
      </c>
      <c r="K748" s="7">
        <f>_xlfn.XLOOKUP(D748,products!$A$1:$A$49,products!$D$1:$D$49,,0)</f>
        <v>1</v>
      </c>
      <c r="L748" s="9">
        <f>_xlfn.XLOOKUP(D748,products!$A$1:$A$49,products!$E$1:$E$49,,0)</f>
        <v>11.25</v>
      </c>
      <c r="M748" s="9">
        <f t="shared" si="11"/>
        <v>33.75</v>
      </c>
      <c r="N748" s="3" t="str" cm="1">
        <f t="array" ref="N748">_xlfn.SWITCH(I748,
"Rob","Robusta",
"Exc","Excelsa",
"Ara","Arabica",
"Lib","Liberica",
"")</f>
        <v>Arabica</v>
      </c>
      <c r="O748" t="str" cm="1">
        <f t="array" ref="O748">_xlfn.SWITCH(J748,
"M","Medium",
"L","Light",
"D","Dark",
"")</f>
        <v>Medium</v>
      </c>
      <c r="P748" t="str">
        <f>_xlfn.XLOOKUP(Orders[[#This Row],[Customer ID]],customers!$A$1:$A$1001,customers!$I$1:$I$1001,,0)</f>
        <v>No</v>
      </c>
    </row>
    <row r="749" spans="1:16" x14ac:dyDescent="0.35">
      <c r="A749" s="2" t="s">
        <v>4711</v>
      </c>
      <c r="B749" s="4">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_xlfn.XLOOKUP(D749,products!$A$1:$A$49,products!$B$1:$B$49,,0)</f>
        <v>Lib</v>
      </c>
      <c r="J749" t="str">
        <f>_xlfn.XLOOKUP(D749,products!$A$1:$A$49,products!$C$1:$C$49,,0)</f>
        <v>M</v>
      </c>
      <c r="K749" s="7">
        <f>_xlfn.XLOOKUP(D749,products!$A$1:$A$49,products!$D$1:$D$49,,0)</f>
        <v>0.5</v>
      </c>
      <c r="L749" s="9">
        <f>_xlfn.XLOOKUP(D749,products!$A$1:$A$49,products!$E$1:$E$49,,0)</f>
        <v>8.73</v>
      </c>
      <c r="M749" s="9">
        <f t="shared" si="11"/>
        <v>34.92</v>
      </c>
      <c r="N749" s="3" t="str" cm="1">
        <f t="array" ref="N749">_xlfn.SWITCH(I749,
"Rob","Robusta",
"Exc","Excelsa",
"Ara","Arabica",
"Lib","Liberica",
"")</f>
        <v>Liberica</v>
      </c>
      <c r="O749" t="str" cm="1">
        <f t="array" ref="O749">_xlfn.SWITCH(J749,
"M","Medium",
"L","Light",
"D","Dark",
"")</f>
        <v>Medium</v>
      </c>
      <c r="P749" t="str">
        <f>_xlfn.XLOOKUP(Orders[[#This Row],[Customer ID]],customers!$A$1:$A$1001,customers!$I$1:$I$1001,,0)</f>
        <v>Yes</v>
      </c>
    </row>
    <row r="750" spans="1:16" x14ac:dyDescent="0.35">
      <c r="A750" s="2" t="s">
        <v>4717</v>
      </c>
      <c r="B750" s="4">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_xlfn.XLOOKUP(D750,products!$A$1:$A$49,products!$B$1:$B$49,,0)</f>
        <v>Exc</v>
      </c>
      <c r="J750" t="str">
        <f>_xlfn.XLOOKUP(D750,products!$A$1:$A$49,products!$C$1:$C$49,,0)</f>
        <v>D</v>
      </c>
      <c r="K750" s="7">
        <f>_xlfn.XLOOKUP(D750,products!$A$1:$A$49,products!$D$1:$D$49,,0)</f>
        <v>0.5</v>
      </c>
      <c r="L750" s="9">
        <f>_xlfn.XLOOKUP(D750,products!$A$1:$A$49,products!$E$1:$E$49,,0)</f>
        <v>7.29</v>
      </c>
      <c r="M750" s="9">
        <f t="shared" si="11"/>
        <v>14.58</v>
      </c>
      <c r="N750" s="3" t="str" cm="1">
        <f t="array" ref="N750">_xlfn.SWITCH(I750,
"Rob","Robusta",
"Exc","Excelsa",
"Ara","Arabica",
"Lib","Liberica",
"")</f>
        <v>Excelsa</v>
      </c>
      <c r="O750" t="str" cm="1">
        <f t="array" ref="O750">_xlfn.SWITCH(J750,
"M","Medium",
"L","Light",
"D","Dark",
"")</f>
        <v>Dark</v>
      </c>
      <c r="P750" t="str">
        <f>_xlfn.XLOOKUP(Orders[[#This Row],[Customer ID]],customers!$A$1:$A$1001,customers!$I$1:$I$1001,,0)</f>
        <v>No</v>
      </c>
    </row>
    <row r="751" spans="1:16" x14ac:dyDescent="0.35">
      <c r="A751" s="2" t="s">
        <v>4723</v>
      </c>
      <c r="B751" s="4">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_xlfn.XLOOKUP(D751,products!$A$1:$A$49,products!$B$1:$B$49,,0)</f>
        <v>Rob</v>
      </c>
      <c r="J751" t="str">
        <f>_xlfn.XLOOKUP(D751,products!$A$1:$A$49,products!$C$1:$C$49,,0)</f>
        <v>D</v>
      </c>
      <c r="K751" s="7">
        <f>_xlfn.XLOOKUP(D751,products!$A$1:$A$49,products!$D$1:$D$49,,0)</f>
        <v>0.2</v>
      </c>
      <c r="L751" s="9">
        <f>_xlfn.XLOOKUP(D751,products!$A$1:$A$49,products!$E$1:$E$49,,0)</f>
        <v>2.6849999999999996</v>
      </c>
      <c r="M751" s="9">
        <f t="shared" si="11"/>
        <v>5.3699999999999992</v>
      </c>
      <c r="N751" s="3" t="str" cm="1">
        <f t="array" ref="N751">_xlfn.SWITCH(I751,
"Rob","Robusta",
"Exc","Excelsa",
"Ara","Arabica",
"Lib","Liberica",
"")</f>
        <v>Robusta</v>
      </c>
      <c r="O751" t="str" cm="1">
        <f t="array" ref="O751">_xlfn.SWITCH(J751,
"M","Medium",
"L","Light",
"D","Dark",
"")</f>
        <v>Dark</v>
      </c>
      <c r="P751" t="str">
        <f>_xlfn.XLOOKUP(Orders[[#This Row],[Customer ID]],customers!$A$1:$A$1001,customers!$I$1:$I$1001,,0)</f>
        <v>Yes</v>
      </c>
    </row>
    <row r="752" spans="1:16" x14ac:dyDescent="0.35">
      <c r="A752" s="2" t="s">
        <v>4730</v>
      </c>
      <c r="B752" s="4">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_xlfn.XLOOKUP(D752,products!$A$1:$A$49,products!$B$1:$B$49,,0)</f>
        <v>Rob</v>
      </c>
      <c r="J752" t="str">
        <f>_xlfn.XLOOKUP(D752,products!$A$1:$A$49,products!$C$1:$C$49,,0)</f>
        <v>M</v>
      </c>
      <c r="K752" s="7">
        <f>_xlfn.XLOOKUP(D752,products!$A$1:$A$49,products!$D$1:$D$49,,0)</f>
        <v>0.5</v>
      </c>
      <c r="L752" s="9">
        <f>_xlfn.XLOOKUP(D752,products!$A$1:$A$49,products!$E$1:$E$49,,0)</f>
        <v>5.97</v>
      </c>
      <c r="M752" s="9">
        <f t="shared" si="11"/>
        <v>5.97</v>
      </c>
      <c r="N752" s="3" t="str" cm="1">
        <f t="array" ref="N752">_xlfn.SWITCH(I752,
"Rob","Robusta",
"Exc","Excelsa",
"Ara","Arabica",
"Lib","Liberica",
"")</f>
        <v>Robusta</v>
      </c>
      <c r="O752" t="str" cm="1">
        <f t="array" ref="O752">_xlfn.SWITCH(J752,
"M","Medium",
"L","Light",
"D","Dark",
"")</f>
        <v>Medium</v>
      </c>
      <c r="P752" t="str">
        <f>_xlfn.XLOOKUP(Orders[[#This Row],[Customer ID]],customers!$A$1:$A$1001,customers!$I$1:$I$1001,,0)</f>
        <v>Yes</v>
      </c>
    </row>
    <row r="753" spans="1:16" x14ac:dyDescent="0.35">
      <c r="A753" s="2" t="s">
        <v>4735</v>
      </c>
      <c r="B753" s="4">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_xlfn.XLOOKUP(D753,products!$A$1:$A$49,products!$B$1:$B$49,,0)</f>
        <v>Lib</v>
      </c>
      <c r="J753" t="str">
        <f>_xlfn.XLOOKUP(D753,products!$A$1:$A$49,products!$C$1:$C$49,,0)</f>
        <v>L</v>
      </c>
      <c r="K753" s="7">
        <f>_xlfn.XLOOKUP(D753,products!$A$1:$A$49,products!$D$1:$D$49,,0)</f>
        <v>0.5</v>
      </c>
      <c r="L753" s="9">
        <f>_xlfn.XLOOKUP(D753,products!$A$1:$A$49,products!$E$1:$E$49,,0)</f>
        <v>9.51</v>
      </c>
      <c r="M753" s="9">
        <f t="shared" si="11"/>
        <v>19.02</v>
      </c>
      <c r="N753" s="3" t="str" cm="1">
        <f t="array" ref="N753">_xlfn.SWITCH(I753,
"Rob","Robusta",
"Exc","Excelsa",
"Ara","Arabica",
"Lib","Liberica",
"")</f>
        <v>Liberica</v>
      </c>
      <c r="O753" t="str" cm="1">
        <f t="array" ref="O753">_xlfn.SWITCH(J753,
"M","Medium",
"L","Light",
"D","Dark",
"")</f>
        <v>Light</v>
      </c>
      <c r="P753" t="str">
        <f>_xlfn.XLOOKUP(Orders[[#This Row],[Customer ID]],customers!$A$1:$A$1001,customers!$I$1:$I$1001,,0)</f>
        <v>No</v>
      </c>
    </row>
    <row r="754" spans="1:16" x14ac:dyDescent="0.35">
      <c r="A754" s="2" t="s">
        <v>4741</v>
      </c>
      <c r="B754" s="4">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_xlfn.XLOOKUP(D754,products!$A$1:$A$49,products!$B$1:$B$49,,0)</f>
        <v>Exc</v>
      </c>
      <c r="J754" t="str">
        <f>_xlfn.XLOOKUP(D754,products!$A$1:$A$49,products!$C$1:$C$49,,0)</f>
        <v>M</v>
      </c>
      <c r="K754" s="7">
        <f>_xlfn.XLOOKUP(D754,products!$A$1:$A$49,products!$D$1:$D$49,,0)</f>
        <v>1</v>
      </c>
      <c r="L754" s="9">
        <f>_xlfn.XLOOKUP(D754,products!$A$1:$A$49,products!$E$1:$E$49,,0)</f>
        <v>13.75</v>
      </c>
      <c r="M754" s="9">
        <f t="shared" si="11"/>
        <v>27.5</v>
      </c>
      <c r="N754" s="3" t="str" cm="1">
        <f t="array" ref="N754">_xlfn.SWITCH(I754,
"Rob","Robusta",
"Exc","Excelsa",
"Ara","Arabica",
"Lib","Liberica",
"")</f>
        <v>Excelsa</v>
      </c>
      <c r="O754" t="str" cm="1">
        <f t="array" ref="O754">_xlfn.SWITCH(J754,
"M","Medium",
"L","Light",
"D","Dark",
"")</f>
        <v>Medium</v>
      </c>
      <c r="P754" t="str">
        <f>_xlfn.XLOOKUP(Orders[[#This Row],[Customer ID]],customers!$A$1:$A$1001,customers!$I$1:$I$1001,,0)</f>
        <v>Yes</v>
      </c>
    </row>
    <row r="755" spans="1:16" x14ac:dyDescent="0.35">
      <c r="A755" s="2" t="s">
        <v>4747</v>
      </c>
      <c r="B755" s="4">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_xlfn.XLOOKUP(D755,products!$A$1:$A$49,products!$B$1:$B$49,,0)</f>
        <v>Ara</v>
      </c>
      <c r="J755" t="str">
        <f>_xlfn.XLOOKUP(D755,products!$A$1:$A$49,products!$C$1:$C$49,,0)</f>
        <v>D</v>
      </c>
      <c r="K755" s="7">
        <f>_xlfn.XLOOKUP(D755,products!$A$1:$A$49,products!$D$1:$D$49,,0)</f>
        <v>0.5</v>
      </c>
      <c r="L755" s="9">
        <f>_xlfn.XLOOKUP(D755,products!$A$1:$A$49,products!$E$1:$E$49,,0)</f>
        <v>5.97</v>
      </c>
      <c r="M755" s="9">
        <f t="shared" si="11"/>
        <v>29.849999999999998</v>
      </c>
      <c r="N755" s="3" t="str" cm="1">
        <f t="array" ref="N755">_xlfn.SWITCH(I755,
"Rob","Robusta",
"Exc","Excelsa",
"Ara","Arabica",
"Lib","Liberica",
"")</f>
        <v>Arabica</v>
      </c>
      <c r="O755" t="str" cm="1">
        <f t="array" ref="O755">_xlfn.SWITCH(J755,
"M","Medium",
"L","Light",
"D","Dark",
"")</f>
        <v>Dark</v>
      </c>
      <c r="P755" t="str">
        <f>_xlfn.XLOOKUP(Orders[[#This Row],[Customer ID]],customers!$A$1:$A$1001,customers!$I$1:$I$1001,,0)</f>
        <v>No</v>
      </c>
    </row>
    <row r="756" spans="1:16" x14ac:dyDescent="0.35">
      <c r="A756" s="2" t="s">
        <v>4753</v>
      </c>
      <c r="B756" s="4">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_xlfn.XLOOKUP(D756,products!$A$1:$A$49,products!$B$1:$B$49,,0)</f>
        <v>Ara</v>
      </c>
      <c r="J756" t="str">
        <f>_xlfn.XLOOKUP(D756,products!$A$1:$A$49,products!$C$1:$C$49,,0)</f>
        <v>D</v>
      </c>
      <c r="K756" s="7">
        <f>_xlfn.XLOOKUP(D756,products!$A$1:$A$49,products!$D$1:$D$49,,0)</f>
        <v>0.2</v>
      </c>
      <c r="L756" s="9">
        <f>_xlfn.XLOOKUP(D756,products!$A$1:$A$49,products!$E$1:$E$49,,0)</f>
        <v>2.9849999999999999</v>
      </c>
      <c r="M756" s="9">
        <f t="shared" si="11"/>
        <v>17.91</v>
      </c>
      <c r="N756" s="3" t="str" cm="1">
        <f t="array" ref="N756">_xlfn.SWITCH(I756,
"Rob","Robusta",
"Exc","Excelsa",
"Ara","Arabica",
"Lib","Liberica",
"")</f>
        <v>Arabica</v>
      </c>
      <c r="O756" t="str" cm="1">
        <f t="array" ref="O756">_xlfn.SWITCH(J756,
"M","Medium",
"L","Light",
"D","Dark",
"")</f>
        <v>Dark</v>
      </c>
      <c r="P756" t="str">
        <f>_xlfn.XLOOKUP(Orders[[#This Row],[Customer ID]],customers!$A$1:$A$1001,customers!$I$1:$I$1001,,0)</f>
        <v>No</v>
      </c>
    </row>
    <row r="757" spans="1:16" x14ac:dyDescent="0.35">
      <c r="A757" s="2" t="s">
        <v>4758</v>
      </c>
      <c r="B757" s="4">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_xlfn.XLOOKUP(D757,products!$A$1:$A$49,products!$B$1:$B$49,,0)</f>
        <v>Lib</v>
      </c>
      <c r="J757" t="str">
        <f>_xlfn.XLOOKUP(D757,products!$A$1:$A$49,products!$C$1:$C$49,,0)</f>
        <v>L</v>
      </c>
      <c r="K757" s="7">
        <f>_xlfn.XLOOKUP(D757,products!$A$1:$A$49,products!$D$1:$D$49,,0)</f>
        <v>0.2</v>
      </c>
      <c r="L757" s="9">
        <f>_xlfn.XLOOKUP(D757,products!$A$1:$A$49,products!$E$1:$E$49,,0)</f>
        <v>4.7549999999999999</v>
      </c>
      <c r="M757" s="9">
        <f t="shared" si="11"/>
        <v>28.53</v>
      </c>
      <c r="N757" s="3" t="str" cm="1">
        <f t="array" ref="N757">_xlfn.SWITCH(I757,
"Rob","Robusta",
"Exc","Excelsa",
"Ara","Arabica",
"Lib","Liberica",
"")</f>
        <v>Liberica</v>
      </c>
      <c r="O757" t="str" cm="1">
        <f t="array" ref="O757">_xlfn.SWITCH(J757,
"M","Medium",
"L","Light",
"D","Dark",
"")</f>
        <v>Light</v>
      </c>
      <c r="P757" t="str">
        <f>_xlfn.XLOOKUP(Orders[[#This Row],[Customer ID]],customers!$A$1:$A$1001,customers!$I$1:$I$1001,,0)</f>
        <v>No</v>
      </c>
    </row>
    <row r="758" spans="1:16" x14ac:dyDescent="0.35">
      <c r="A758" s="2" t="s">
        <v>4764</v>
      </c>
      <c r="B758" s="4">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_xlfn.XLOOKUP(D758,products!$A$1:$A$49,products!$B$1:$B$49,,0)</f>
        <v>Rob</v>
      </c>
      <c r="J758" t="str">
        <f>_xlfn.XLOOKUP(D758,products!$A$1:$A$49,products!$C$1:$C$49,,0)</f>
        <v>D</v>
      </c>
      <c r="K758" s="7">
        <f>_xlfn.XLOOKUP(D758,products!$A$1:$A$49,products!$D$1:$D$49,,0)</f>
        <v>1</v>
      </c>
      <c r="L758" s="9">
        <f>_xlfn.XLOOKUP(D758,products!$A$1:$A$49,products!$E$1:$E$49,,0)</f>
        <v>8.9499999999999993</v>
      </c>
      <c r="M758" s="9">
        <f t="shared" si="11"/>
        <v>35.799999999999997</v>
      </c>
      <c r="N758" s="3" t="str" cm="1">
        <f t="array" ref="N758">_xlfn.SWITCH(I758,
"Rob","Robusta",
"Exc","Excelsa",
"Ara","Arabica",
"Lib","Liberica",
"")</f>
        <v>Robusta</v>
      </c>
      <c r="O758" t="str" cm="1">
        <f t="array" ref="O758">_xlfn.SWITCH(J758,
"M","Medium",
"L","Light",
"D","Dark",
"")</f>
        <v>Dark</v>
      </c>
      <c r="P758" t="str">
        <f>_xlfn.XLOOKUP(Orders[[#This Row],[Customer ID]],customers!$A$1:$A$1001,customers!$I$1:$I$1001,,0)</f>
        <v>Yes</v>
      </c>
    </row>
    <row r="759" spans="1:16" x14ac:dyDescent="0.35">
      <c r="A759" s="2" t="s">
        <v>4770</v>
      </c>
      <c r="B759" s="4">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_xlfn.XLOOKUP(D759,products!$A$1:$A$49,products!$B$1:$B$49,,0)</f>
        <v>Ara</v>
      </c>
      <c r="J759" t="str">
        <f>_xlfn.XLOOKUP(D759,products!$A$1:$A$49,products!$C$1:$C$49,,0)</f>
        <v>D</v>
      </c>
      <c r="K759" s="7">
        <f>_xlfn.XLOOKUP(D759,products!$A$1:$A$49,products!$D$1:$D$49,,0)</f>
        <v>0.5</v>
      </c>
      <c r="L759" s="9">
        <f>_xlfn.XLOOKUP(D759,products!$A$1:$A$49,products!$E$1:$E$49,,0)</f>
        <v>5.97</v>
      </c>
      <c r="M759" s="9">
        <f t="shared" si="11"/>
        <v>17.91</v>
      </c>
      <c r="N759" s="3" t="str" cm="1">
        <f t="array" ref="N759">_xlfn.SWITCH(I759,
"Rob","Robusta",
"Exc","Excelsa",
"Ara","Arabica",
"Lib","Liberica",
"")</f>
        <v>Arabica</v>
      </c>
      <c r="O759" t="str" cm="1">
        <f t="array" ref="O759">_xlfn.SWITCH(J759,
"M","Medium",
"L","Light",
"D","Dark",
"")</f>
        <v>Dark</v>
      </c>
      <c r="P759" t="str">
        <f>_xlfn.XLOOKUP(Orders[[#This Row],[Customer ID]],customers!$A$1:$A$1001,customers!$I$1:$I$1001,,0)</f>
        <v>Yes</v>
      </c>
    </row>
    <row r="760" spans="1:16" x14ac:dyDescent="0.35">
      <c r="A760" s="2" t="s">
        <v>4776</v>
      </c>
      <c r="B760" s="4">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_xlfn.XLOOKUP(D760,products!$A$1:$A$49,products!$B$1:$B$49,,0)</f>
        <v>Rob</v>
      </c>
      <c r="J760" t="str">
        <f>_xlfn.XLOOKUP(D760,products!$A$1:$A$49,products!$C$1:$C$49,,0)</f>
        <v>D</v>
      </c>
      <c r="K760" s="7">
        <f>_xlfn.XLOOKUP(D760,products!$A$1:$A$49,products!$D$1:$D$49,,0)</f>
        <v>1</v>
      </c>
      <c r="L760" s="9">
        <f>_xlfn.XLOOKUP(D760,products!$A$1:$A$49,products!$E$1:$E$49,,0)</f>
        <v>8.9499999999999993</v>
      </c>
      <c r="M760" s="9">
        <f t="shared" si="11"/>
        <v>8.9499999999999993</v>
      </c>
      <c r="N760" s="3" t="str" cm="1">
        <f t="array" ref="N760">_xlfn.SWITCH(I760,
"Rob","Robusta",
"Exc","Excelsa",
"Ara","Arabica",
"Lib","Liberica",
"")</f>
        <v>Robusta</v>
      </c>
      <c r="O760" t="str" cm="1">
        <f t="array" ref="O760">_xlfn.SWITCH(J760,
"M","Medium",
"L","Light",
"D","Dark",
"")</f>
        <v>Dark</v>
      </c>
      <c r="P760" t="str">
        <f>_xlfn.XLOOKUP(Orders[[#This Row],[Customer ID]],customers!$A$1:$A$1001,customers!$I$1:$I$1001,,0)</f>
        <v>No</v>
      </c>
    </row>
    <row r="761" spans="1:16" x14ac:dyDescent="0.35">
      <c r="A761" s="2" t="s">
        <v>4781</v>
      </c>
      <c r="B761" s="4">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_xlfn.XLOOKUP(D761,products!$A$1:$A$49,products!$B$1:$B$49,,0)</f>
        <v>Lib</v>
      </c>
      <c r="J761" t="str">
        <f>_xlfn.XLOOKUP(D761,products!$A$1:$A$49,products!$C$1:$C$49,,0)</f>
        <v>D</v>
      </c>
      <c r="K761" s="7">
        <f>_xlfn.XLOOKUP(D761,products!$A$1:$A$49,products!$D$1:$D$49,,0)</f>
        <v>2.5</v>
      </c>
      <c r="L761" s="9">
        <f>_xlfn.XLOOKUP(D761,products!$A$1:$A$49,products!$E$1:$E$49,,0)</f>
        <v>29.784999999999997</v>
      </c>
      <c r="M761" s="9">
        <f t="shared" si="11"/>
        <v>29.784999999999997</v>
      </c>
      <c r="N761" s="3" t="str" cm="1">
        <f t="array" ref="N761">_xlfn.SWITCH(I761,
"Rob","Robusta",
"Exc","Excelsa",
"Ara","Arabica",
"Lib","Liberica",
"")</f>
        <v>Liberica</v>
      </c>
      <c r="O761" t="str" cm="1">
        <f t="array" ref="O761">_xlfn.SWITCH(J761,
"M","Medium",
"L","Light",
"D","Dark",
"")</f>
        <v>Dark</v>
      </c>
      <c r="P761" t="str">
        <f>_xlfn.XLOOKUP(Orders[[#This Row],[Customer ID]],customers!$A$1:$A$1001,customers!$I$1:$I$1001,,0)</f>
        <v>Yes</v>
      </c>
    </row>
    <row r="762" spans="1:16" x14ac:dyDescent="0.35">
      <c r="A762" s="2" t="s">
        <v>4787</v>
      </c>
      <c r="B762" s="4">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_xlfn.XLOOKUP(D762,products!$A$1:$A$49,products!$B$1:$B$49,,0)</f>
        <v>Exc</v>
      </c>
      <c r="J762" t="str">
        <f>_xlfn.XLOOKUP(D762,products!$A$1:$A$49,products!$C$1:$C$49,,0)</f>
        <v>L</v>
      </c>
      <c r="K762" s="7">
        <f>_xlfn.XLOOKUP(D762,products!$A$1:$A$49,products!$D$1:$D$49,,0)</f>
        <v>0.5</v>
      </c>
      <c r="L762" s="9">
        <f>_xlfn.XLOOKUP(D762,products!$A$1:$A$49,products!$E$1:$E$49,,0)</f>
        <v>8.91</v>
      </c>
      <c r="M762" s="9">
        <f t="shared" si="11"/>
        <v>44.55</v>
      </c>
      <c r="N762" s="3" t="str" cm="1">
        <f t="array" ref="N762">_xlfn.SWITCH(I762,
"Rob","Robusta",
"Exc","Excelsa",
"Ara","Arabica",
"Lib","Liberica",
"")</f>
        <v>Excelsa</v>
      </c>
      <c r="O762" t="str" cm="1">
        <f t="array" ref="O762">_xlfn.SWITCH(J762,
"M","Medium",
"L","Light",
"D","Dark",
"")</f>
        <v>Light</v>
      </c>
      <c r="P762" t="str">
        <f>_xlfn.XLOOKUP(Orders[[#This Row],[Customer ID]],customers!$A$1:$A$1001,customers!$I$1:$I$1001,,0)</f>
        <v>No</v>
      </c>
    </row>
    <row r="763" spans="1:16" x14ac:dyDescent="0.35">
      <c r="A763" s="2" t="s">
        <v>4792</v>
      </c>
      <c r="B763" s="4">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_xlfn.XLOOKUP(D763,products!$A$1:$A$49,products!$B$1:$B$49,,0)</f>
        <v>Exc</v>
      </c>
      <c r="J763" t="str">
        <f>_xlfn.XLOOKUP(D763,products!$A$1:$A$49,products!$C$1:$C$49,,0)</f>
        <v>L</v>
      </c>
      <c r="K763" s="7">
        <f>_xlfn.XLOOKUP(D763,products!$A$1:$A$49,products!$D$1:$D$49,,0)</f>
        <v>1</v>
      </c>
      <c r="L763" s="9">
        <f>_xlfn.XLOOKUP(D763,products!$A$1:$A$49,products!$E$1:$E$49,,0)</f>
        <v>14.85</v>
      </c>
      <c r="M763" s="9">
        <f t="shared" si="11"/>
        <v>89.1</v>
      </c>
      <c r="N763" s="3" t="str" cm="1">
        <f t="array" ref="N763">_xlfn.SWITCH(I763,
"Rob","Robusta",
"Exc","Excelsa",
"Ara","Arabica",
"Lib","Liberica",
"")</f>
        <v>Excelsa</v>
      </c>
      <c r="O763" t="str" cm="1">
        <f t="array" ref="O763">_xlfn.SWITCH(J763,
"M","Medium",
"L","Light",
"D","Dark",
"")</f>
        <v>Light</v>
      </c>
      <c r="P763" t="str">
        <f>_xlfn.XLOOKUP(Orders[[#This Row],[Customer ID]],customers!$A$1:$A$1001,customers!$I$1:$I$1001,,0)</f>
        <v>Yes</v>
      </c>
    </row>
    <row r="764" spans="1:16" x14ac:dyDescent="0.35">
      <c r="A764" s="2" t="s">
        <v>4797</v>
      </c>
      <c r="B764" s="4">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_xlfn.XLOOKUP(D764,products!$A$1:$A$49,products!$B$1:$B$49,,0)</f>
        <v>Lib</v>
      </c>
      <c r="J764" t="str">
        <f>_xlfn.XLOOKUP(D764,products!$A$1:$A$49,products!$C$1:$C$49,,0)</f>
        <v>M</v>
      </c>
      <c r="K764" s="7">
        <f>_xlfn.XLOOKUP(D764,products!$A$1:$A$49,products!$D$1:$D$49,,0)</f>
        <v>0.5</v>
      </c>
      <c r="L764" s="9">
        <f>_xlfn.XLOOKUP(D764,products!$A$1:$A$49,products!$E$1:$E$49,,0)</f>
        <v>8.73</v>
      </c>
      <c r="M764" s="9">
        <f t="shared" si="11"/>
        <v>43.650000000000006</v>
      </c>
      <c r="N764" s="3" t="str" cm="1">
        <f t="array" ref="N764">_xlfn.SWITCH(I764,
"Rob","Robusta",
"Exc","Excelsa",
"Ara","Arabica",
"Lib","Liberica",
"")</f>
        <v>Liberica</v>
      </c>
      <c r="O764" t="str" cm="1">
        <f t="array" ref="O764">_xlfn.SWITCH(J764,
"M","Medium",
"L","Light",
"D","Dark",
"")</f>
        <v>Medium</v>
      </c>
      <c r="P764" t="str">
        <f>_xlfn.XLOOKUP(Orders[[#This Row],[Customer ID]],customers!$A$1:$A$1001,customers!$I$1:$I$1001,,0)</f>
        <v>No</v>
      </c>
    </row>
    <row r="765" spans="1:16" x14ac:dyDescent="0.35">
      <c r="A765" s="2" t="s">
        <v>4803</v>
      </c>
      <c r="B765" s="4">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_xlfn.XLOOKUP(D765,products!$A$1:$A$49,products!$B$1:$B$49,,0)</f>
        <v>Ara</v>
      </c>
      <c r="J765" t="str">
        <f>_xlfn.XLOOKUP(D765,products!$A$1:$A$49,products!$C$1:$C$49,,0)</f>
        <v>L</v>
      </c>
      <c r="K765" s="7">
        <f>_xlfn.XLOOKUP(D765,products!$A$1:$A$49,products!$D$1:$D$49,,0)</f>
        <v>0.5</v>
      </c>
      <c r="L765" s="9">
        <f>_xlfn.XLOOKUP(D765,products!$A$1:$A$49,products!$E$1:$E$49,,0)</f>
        <v>7.77</v>
      </c>
      <c r="M765" s="9">
        <f t="shared" si="11"/>
        <v>23.31</v>
      </c>
      <c r="N765" s="3" t="str" cm="1">
        <f t="array" ref="N765">_xlfn.SWITCH(I765,
"Rob","Robusta",
"Exc","Excelsa",
"Ara","Arabica",
"Lib","Liberica",
"")</f>
        <v>Arabica</v>
      </c>
      <c r="O765" t="str" cm="1">
        <f t="array" ref="O765">_xlfn.SWITCH(J765,
"M","Medium",
"L","Light",
"D","Dark",
"")</f>
        <v>Light</v>
      </c>
      <c r="P765" t="str">
        <f>_xlfn.XLOOKUP(Orders[[#This Row],[Customer ID]],customers!$A$1:$A$1001,customers!$I$1:$I$1001,,0)</f>
        <v>No</v>
      </c>
    </row>
    <row r="766" spans="1:16" x14ac:dyDescent="0.35">
      <c r="A766" s="2" t="s">
        <v>4808</v>
      </c>
      <c r="B766" s="4">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_xlfn.XLOOKUP(D766,products!$A$1:$A$49,products!$B$1:$B$49,,0)</f>
        <v>Ara</v>
      </c>
      <c r="J766" t="str">
        <f>_xlfn.XLOOKUP(D766,products!$A$1:$A$49,products!$C$1:$C$49,,0)</f>
        <v>L</v>
      </c>
      <c r="K766" s="7">
        <f>_xlfn.XLOOKUP(D766,products!$A$1:$A$49,products!$D$1:$D$49,,0)</f>
        <v>2.5</v>
      </c>
      <c r="L766" s="9">
        <f>_xlfn.XLOOKUP(D766,products!$A$1:$A$49,products!$E$1:$E$49,,0)</f>
        <v>29.784999999999997</v>
      </c>
      <c r="M766" s="9">
        <f t="shared" si="11"/>
        <v>178.70999999999998</v>
      </c>
      <c r="N766" s="3" t="str" cm="1">
        <f t="array" ref="N766">_xlfn.SWITCH(I766,
"Rob","Robusta",
"Exc","Excelsa",
"Ara","Arabica",
"Lib","Liberica",
"")</f>
        <v>Arabica</v>
      </c>
      <c r="O766" t="str" cm="1">
        <f t="array" ref="O766">_xlfn.SWITCH(J766,
"M","Medium",
"L","Light",
"D","Dark",
"")</f>
        <v>Light</v>
      </c>
      <c r="P766" t="str">
        <f>_xlfn.XLOOKUP(Orders[[#This Row],[Customer ID]],customers!$A$1:$A$1001,customers!$I$1:$I$1001,,0)</f>
        <v>Yes</v>
      </c>
    </row>
    <row r="767" spans="1:16" x14ac:dyDescent="0.35">
      <c r="A767" s="2" t="s">
        <v>4814</v>
      </c>
      <c r="B767" s="4">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_xlfn.XLOOKUP(D767,products!$A$1:$A$49,products!$B$1:$B$49,,0)</f>
        <v>Rob</v>
      </c>
      <c r="J767" t="str">
        <f>_xlfn.XLOOKUP(D767,products!$A$1:$A$49,products!$C$1:$C$49,,0)</f>
        <v>M</v>
      </c>
      <c r="K767" s="7">
        <f>_xlfn.XLOOKUP(D767,products!$A$1:$A$49,products!$D$1:$D$49,,0)</f>
        <v>1</v>
      </c>
      <c r="L767" s="9">
        <f>_xlfn.XLOOKUP(D767,products!$A$1:$A$49,products!$E$1:$E$49,,0)</f>
        <v>9.9499999999999993</v>
      </c>
      <c r="M767" s="9">
        <f t="shared" si="11"/>
        <v>59.699999999999996</v>
      </c>
      <c r="N767" s="3" t="str" cm="1">
        <f t="array" ref="N767">_xlfn.SWITCH(I767,
"Rob","Robusta",
"Exc","Excelsa",
"Ara","Arabica",
"Lib","Liberica",
"")</f>
        <v>Robusta</v>
      </c>
      <c r="O767" t="str" cm="1">
        <f t="array" ref="O767">_xlfn.SWITCH(J767,
"M","Medium",
"L","Light",
"D","Dark",
"")</f>
        <v>Medium</v>
      </c>
      <c r="P767" t="str">
        <f>_xlfn.XLOOKUP(Orders[[#This Row],[Customer ID]],customers!$A$1:$A$1001,customers!$I$1:$I$1001,,0)</f>
        <v>Yes</v>
      </c>
    </row>
    <row r="768" spans="1:16" x14ac:dyDescent="0.35">
      <c r="A768" s="2" t="s">
        <v>4814</v>
      </c>
      <c r="B768" s="4">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_xlfn.XLOOKUP(D768,products!$A$1:$A$49,products!$B$1:$B$49,,0)</f>
        <v>Ara</v>
      </c>
      <c r="J768" t="str">
        <f>_xlfn.XLOOKUP(D768,products!$A$1:$A$49,products!$C$1:$C$49,,0)</f>
        <v>L</v>
      </c>
      <c r="K768" s="7">
        <f>_xlfn.XLOOKUP(D768,products!$A$1:$A$49,products!$D$1:$D$49,,0)</f>
        <v>0.5</v>
      </c>
      <c r="L768" s="9">
        <f>_xlfn.XLOOKUP(D768,products!$A$1:$A$49,products!$E$1:$E$49,,0)</f>
        <v>7.77</v>
      </c>
      <c r="M768" s="9">
        <f t="shared" si="11"/>
        <v>15.54</v>
      </c>
      <c r="N768" s="3" t="str" cm="1">
        <f t="array" ref="N768">_xlfn.SWITCH(I768,
"Rob","Robusta",
"Exc","Excelsa",
"Ara","Arabica",
"Lib","Liberica",
"")</f>
        <v>Arabica</v>
      </c>
      <c r="O768" t="str" cm="1">
        <f t="array" ref="O768">_xlfn.SWITCH(J768,
"M","Medium",
"L","Light",
"D","Dark",
"")</f>
        <v>Light</v>
      </c>
      <c r="P768" t="str">
        <f>_xlfn.XLOOKUP(Orders[[#This Row],[Customer ID]],customers!$A$1:$A$1001,customers!$I$1:$I$1001,,0)</f>
        <v>Yes</v>
      </c>
    </row>
    <row r="769" spans="1:16" x14ac:dyDescent="0.35">
      <c r="A769" s="2" t="s">
        <v>4825</v>
      </c>
      <c r="B769" s="4">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_xlfn.XLOOKUP(D769,products!$A$1:$A$49,products!$B$1:$B$49,,0)</f>
        <v>Ara</v>
      </c>
      <c r="J769" t="str">
        <f>_xlfn.XLOOKUP(D769,products!$A$1:$A$49,products!$C$1:$C$49,,0)</f>
        <v>L</v>
      </c>
      <c r="K769" s="7">
        <f>_xlfn.XLOOKUP(D769,products!$A$1:$A$49,products!$D$1:$D$49,,0)</f>
        <v>2.5</v>
      </c>
      <c r="L769" s="9">
        <f>_xlfn.XLOOKUP(D769,products!$A$1:$A$49,products!$E$1:$E$49,,0)</f>
        <v>29.784999999999997</v>
      </c>
      <c r="M769" s="9">
        <f t="shared" si="11"/>
        <v>89.35499999999999</v>
      </c>
      <c r="N769" s="3" t="str" cm="1">
        <f t="array" ref="N769">_xlfn.SWITCH(I769,
"Rob","Robusta",
"Exc","Excelsa",
"Ara","Arabica",
"Lib","Liberica",
"")</f>
        <v>Arabica</v>
      </c>
      <c r="O769" t="str" cm="1">
        <f t="array" ref="O769">_xlfn.SWITCH(J769,
"M","Medium",
"L","Light",
"D","Dark",
"")</f>
        <v>Light</v>
      </c>
      <c r="P769" t="str">
        <f>_xlfn.XLOOKUP(Orders[[#This Row],[Customer ID]],customers!$A$1:$A$1001,customers!$I$1:$I$1001,,0)</f>
        <v>No</v>
      </c>
    </row>
    <row r="770" spans="1:16" x14ac:dyDescent="0.35">
      <c r="A770" s="2" t="s">
        <v>4831</v>
      </c>
      <c r="B770" s="4">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_xlfn.XLOOKUP(D770,products!$A$1:$A$49,products!$B$1:$B$49,,0)</f>
        <v>Rob</v>
      </c>
      <c r="J770" t="str">
        <f>_xlfn.XLOOKUP(D770,products!$A$1:$A$49,products!$C$1:$C$49,,0)</f>
        <v>L</v>
      </c>
      <c r="K770" s="7">
        <f>_xlfn.XLOOKUP(D770,products!$A$1:$A$49,products!$D$1:$D$49,,0)</f>
        <v>1</v>
      </c>
      <c r="L770" s="9">
        <f>_xlfn.XLOOKUP(D770,products!$A$1:$A$49,products!$E$1:$E$49,,0)</f>
        <v>11.95</v>
      </c>
      <c r="M770" s="9">
        <f t="shared" si="11"/>
        <v>23.9</v>
      </c>
      <c r="N770" s="3" t="str" cm="1">
        <f t="array" ref="N770">_xlfn.SWITCH(I770,
"Rob","Robusta",
"Exc","Excelsa",
"Ara","Arabica",
"Lib","Liberica",
"")</f>
        <v>Robusta</v>
      </c>
      <c r="O770" t="str" cm="1">
        <f t="array" ref="O770">_xlfn.SWITCH(J770,
"M","Medium",
"L","Light",
"D","Dark",
"")</f>
        <v>Light</v>
      </c>
      <c r="P770" t="str">
        <f>_xlfn.XLOOKUP(Orders[[#This Row],[Customer ID]],customers!$A$1:$A$1001,customers!$I$1:$I$1001,,0)</f>
        <v>No</v>
      </c>
    </row>
    <row r="771" spans="1:16" x14ac:dyDescent="0.35">
      <c r="A771" s="2" t="s">
        <v>4836</v>
      </c>
      <c r="B771" s="4">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_xlfn.XLOOKUP(D771,products!$A$1:$A$49,products!$B$1:$B$49,,0)</f>
        <v>Rob</v>
      </c>
      <c r="J771" t="str">
        <f>_xlfn.XLOOKUP(D771,products!$A$1:$A$49,products!$C$1:$C$49,,0)</f>
        <v>M</v>
      </c>
      <c r="K771" s="7">
        <f>_xlfn.XLOOKUP(D771,products!$A$1:$A$49,products!$D$1:$D$49,,0)</f>
        <v>2.5</v>
      </c>
      <c r="L771" s="9">
        <f>_xlfn.XLOOKUP(D771,products!$A$1:$A$49,products!$E$1:$E$49,,0)</f>
        <v>22.884999999999998</v>
      </c>
      <c r="M771" s="9">
        <f t="shared" ref="M771:M834" si="12">L771*E771</f>
        <v>137.31</v>
      </c>
      <c r="N771" s="3" t="str" cm="1">
        <f t="array" ref="N771">_xlfn.SWITCH(I771,
"Rob","Robusta",
"Exc","Excelsa",
"Ara","Arabica",
"Lib","Liberica",
"")</f>
        <v>Robusta</v>
      </c>
      <c r="O771" t="str" cm="1">
        <f t="array" ref="O771">_xlfn.SWITCH(J771,
"M","Medium",
"L","Light",
"D","Dark",
"")</f>
        <v>Medium</v>
      </c>
      <c r="P771" t="str">
        <f>_xlfn.XLOOKUP(Orders[[#This Row],[Customer ID]],customers!$A$1:$A$1001,customers!$I$1:$I$1001,,0)</f>
        <v>No</v>
      </c>
    </row>
    <row r="772" spans="1:16" x14ac:dyDescent="0.35">
      <c r="A772" s="2" t="s">
        <v>4842</v>
      </c>
      <c r="B772" s="4">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_xlfn.XLOOKUP(D772,products!$A$1:$A$49,products!$B$1:$B$49,,0)</f>
        <v>Ara</v>
      </c>
      <c r="J772" t="str">
        <f>_xlfn.XLOOKUP(D772,products!$A$1:$A$49,products!$C$1:$C$49,,0)</f>
        <v>D</v>
      </c>
      <c r="K772" s="7">
        <f>_xlfn.XLOOKUP(D772,products!$A$1:$A$49,products!$D$1:$D$49,,0)</f>
        <v>1</v>
      </c>
      <c r="L772" s="9">
        <f>_xlfn.XLOOKUP(D772,products!$A$1:$A$49,products!$E$1:$E$49,,0)</f>
        <v>9.9499999999999993</v>
      </c>
      <c r="M772" s="9">
        <f t="shared" si="12"/>
        <v>9.9499999999999993</v>
      </c>
      <c r="N772" s="3" t="str" cm="1">
        <f t="array" ref="N772">_xlfn.SWITCH(I772,
"Rob","Robusta",
"Exc","Excelsa",
"Ara","Arabica",
"Lib","Liberica",
"")</f>
        <v>Arabica</v>
      </c>
      <c r="O772" t="str" cm="1">
        <f t="array" ref="O772">_xlfn.SWITCH(J772,
"M","Medium",
"L","Light",
"D","Dark",
"")</f>
        <v>Dark</v>
      </c>
      <c r="P772" t="str">
        <f>_xlfn.XLOOKUP(Orders[[#This Row],[Customer ID]],customers!$A$1:$A$1001,customers!$I$1:$I$1001,,0)</f>
        <v>No</v>
      </c>
    </row>
    <row r="773" spans="1:16" x14ac:dyDescent="0.35">
      <c r="A773" s="2" t="s">
        <v>4847</v>
      </c>
      <c r="B773" s="4">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_xlfn.XLOOKUP(D773,products!$A$1:$A$49,products!$B$1:$B$49,,0)</f>
        <v>Rob</v>
      </c>
      <c r="J773" t="str">
        <f>_xlfn.XLOOKUP(D773,products!$A$1:$A$49,products!$C$1:$C$49,,0)</f>
        <v>L</v>
      </c>
      <c r="K773" s="7">
        <f>_xlfn.XLOOKUP(D773,products!$A$1:$A$49,products!$D$1:$D$49,,0)</f>
        <v>0.5</v>
      </c>
      <c r="L773" s="9">
        <f>_xlfn.XLOOKUP(D773,products!$A$1:$A$49,products!$E$1:$E$49,,0)</f>
        <v>7.169999999999999</v>
      </c>
      <c r="M773" s="9">
        <f t="shared" si="12"/>
        <v>21.509999999999998</v>
      </c>
      <c r="N773" s="3" t="str" cm="1">
        <f t="array" ref="N773">_xlfn.SWITCH(I773,
"Rob","Robusta",
"Exc","Excelsa",
"Ara","Arabica",
"Lib","Liberica",
"")</f>
        <v>Robusta</v>
      </c>
      <c r="O773" t="str" cm="1">
        <f t="array" ref="O773">_xlfn.SWITCH(J773,
"M","Medium",
"L","Light",
"D","Dark",
"")</f>
        <v>Light</v>
      </c>
      <c r="P773" t="str">
        <f>_xlfn.XLOOKUP(Orders[[#This Row],[Customer ID]],customers!$A$1:$A$1001,customers!$I$1:$I$1001,,0)</f>
        <v>No</v>
      </c>
    </row>
    <row r="774" spans="1:16" x14ac:dyDescent="0.35">
      <c r="A774" s="2" t="s">
        <v>4853</v>
      </c>
      <c r="B774" s="4">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_xlfn.XLOOKUP(D774,products!$A$1:$A$49,products!$B$1:$B$49,,0)</f>
        <v>Exc</v>
      </c>
      <c r="J774" t="str">
        <f>_xlfn.XLOOKUP(D774,products!$A$1:$A$49,products!$C$1:$C$49,,0)</f>
        <v>M</v>
      </c>
      <c r="K774" s="7">
        <f>_xlfn.XLOOKUP(D774,products!$A$1:$A$49,products!$D$1:$D$49,,0)</f>
        <v>1</v>
      </c>
      <c r="L774" s="9">
        <f>_xlfn.XLOOKUP(D774,products!$A$1:$A$49,products!$E$1:$E$49,,0)</f>
        <v>13.75</v>
      </c>
      <c r="M774" s="9">
        <f t="shared" si="12"/>
        <v>82.5</v>
      </c>
      <c r="N774" s="3" t="str" cm="1">
        <f t="array" ref="N774">_xlfn.SWITCH(I774,
"Rob","Robusta",
"Exc","Excelsa",
"Ara","Arabica",
"Lib","Liberica",
"")</f>
        <v>Excelsa</v>
      </c>
      <c r="O774" t="str" cm="1">
        <f t="array" ref="O774">_xlfn.SWITCH(J774,
"M","Medium",
"L","Light",
"D","Dark",
"")</f>
        <v>Medium</v>
      </c>
      <c r="P774" t="str">
        <f>_xlfn.XLOOKUP(Orders[[#This Row],[Customer ID]],customers!$A$1:$A$1001,customers!$I$1:$I$1001,,0)</f>
        <v>No</v>
      </c>
    </row>
    <row r="775" spans="1:16" x14ac:dyDescent="0.35">
      <c r="A775" s="2" t="s">
        <v>4858</v>
      </c>
      <c r="B775" s="4">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_xlfn.XLOOKUP(D775,products!$A$1:$A$49,products!$B$1:$B$49,,0)</f>
        <v>Lib</v>
      </c>
      <c r="J775" t="str">
        <f>_xlfn.XLOOKUP(D775,products!$A$1:$A$49,products!$C$1:$C$49,,0)</f>
        <v>M</v>
      </c>
      <c r="K775" s="7">
        <f>_xlfn.XLOOKUP(D775,products!$A$1:$A$49,products!$D$1:$D$49,,0)</f>
        <v>0.2</v>
      </c>
      <c r="L775" s="9">
        <f>_xlfn.XLOOKUP(D775,products!$A$1:$A$49,products!$E$1:$E$49,,0)</f>
        <v>4.3650000000000002</v>
      </c>
      <c r="M775" s="9">
        <f t="shared" si="12"/>
        <v>8.73</v>
      </c>
      <c r="N775" s="3" t="str" cm="1">
        <f t="array" ref="N775">_xlfn.SWITCH(I775,
"Rob","Robusta",
"Exc","Excelsa",
"Ara","Arabica",
"Lib","Liberica",
"")</f>
        <v>Liberica</v>
      </c>
      <c r="O775" t="str" cm="1">
        <f t="array" ref="O775">_xlfn.SWITCH(J775,
"M","Medium",
"L","Light",
"D","Dark",
"")</f>
        <v>Medium</v>
      </c>
      <c r="P775" t="str">
        <f>_xlfn.XLOOKUP(Orders[[#This Row],[Customer ID]],customers!$A$1:$A$1001,customers!$I$1:$I$1001,,0)</f>
        <v>No</v>
      </c>
    </row>
    <row r="776" spans="1:16" x14ac:dyDescent="0.35">
      <c r="A776" s="2" t="s">
        <v>4864</v>
      </c>
      <c r="B776" s="4">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_xlfn.XLOOKUP(D776,products!$A$1:$A$49,products!$B$1:$B$49,,0)</f>
        <v>Rob</v>
      </c>
      <c r="J776" t="str">
        <f>_xlfn.XLOOKUP(D776,products!$A$1:$A$49,products!$C$1:$C$49,,0)</f>
        <v>M</v>
      </c>
      <c r="K776" s="7">
        <f>_xlfn.XLOOKUP(D776,products!$A$1:$A$49,products!$D$1:$D$49,,0)</f>
        <v>1</v>
      </c>
      <c r="L776" s="9">
        <f>_xlfn.XLOOKUP(D776,products!$A$1:$A$49,products!$E$1:$E$49,,0)</f>
        <v>9.9499999999999993</v>
      </c>
      <c r="M776" s="9">
        <f t="shared" si="12"/>
        <v>19.899999999999999</v>
      </c>
      <c r="N776" s="3" t="str" cm="1">
        <f t="array" ref="N776">_xlfn.SWITCH(I776,
"Rob","Robusta",
"Exc","Excelsa",
"Ara","Arabica",
"Lib","Liberica",
"")</f>
        <v>Robusta</v>
      </c>
      <c r="O776" t="str" cm="1">
        <f t="array" ref="O776">_xlfn.SWITCH(J776,
"M","Medium",
"L","Light",
"D","Dark",
"")</f>
        <v>Medium</v>
      </c>
      <c r="P776" t="str">
        <f>_xlfn.XLOOKUP(Orders[[#This Row],[Customer ID]],customers!$A$1:$A$1001,customers!$I$1:$I$1001,,0)</f>
        <v>Yes</v>
      </c>
    </row>
    <row r="777" spans="1:16" x14ac:dyDescent="0.35">
      <c r="A777" s="2" t="s">
        <v>4869</v>
      </c>
      <c r="B777" s="4">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_xlfn.XLOOKUP(D777,products!$A$1:$A$49,products!$B$1:$B$49,,0)</f>
        <v>Exc</v>
      </c>
      <c r="J777" t="str">
        <f>_xlfn.XLOOKUP(D777,products!$A$1:$A$49,products!$C$1:$C$49,,0)</f>
        <v>L</v>
      </c>
      <c r="K777" s="7">
        <f>_xlfn.XLOOKUP(D777,products!$A$1:$A$49,products!$D$1:$D$49,,0)</f>
        <v>0.5</v>
      </c>
      <c r="L777" s="9">
        <f>_xlfn.XLOOKUP(D777,products!$A$1:$A$49,products!$E$1:$E$49,,0)</f>
        <v>8.91</v>
      </c>
      <c r="M777" s="9">
        <f t="shared" si="12"/>
        <v>17.82</v>
      </c>
      <c r="N777" s="3" t="str" cm="1">
        <f t="array" ref="N777">_xlfn.SWITCH(I777,
"Rob","Robusta",
"Exc","Excelsa",
"Ara","Arabica",
"Lib","Liberica",
"")</f>
        <v>Excelsa</v>
      </c>
      <c r="O777" t="str" cm="1">
        <f t="array" ref="O777">_xlfn.SWITCH(J777,
"M","Medium",
"L","Light",
"D","Dark",
"")</f>
        <v>Light</v>
      </c>
      <c r="P777" t="str">
        <f>_xlfn.XLOOKUP(Orders[[#This Row],[Customer ID]],customers!$A$1:$A$1001,customers!$I$1:$I$1001,,0)</f>
        <v>Yes</v>
      </c>
    </row>
    <row r="778" spans="1:16" x14ac:dyDescent="0.35">
      <c r="A778" s="2" t="s">
        <v>4875</v>
      </c>
      <c r="B778" s="4">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_xlfn.XLOOKUP(D778,products!$A$1:$A$49,products!$B$1:$B$49,,0)</f>
        <v>Ara</v>
      </c>
      <c r="J778" t="str">
        <f>_xlfn.XLOOKUP(D778,products!$A$1:$A$49,products!$C$1:$C$49,,0)</f>
        <v>M</v>
      </c>
      <c r="K778" s="7">
        <f>_xlfn.XLOOKUP(D778,products!$A$1:$A$49,products!$D$1:$D$49,,0)</f>
        <v>0.5</v>
      </c>
      <c r="L778" s="9">
        <f>_xlfn.XLOOKUP(D778,products!$A$1:$A$49,products!$E$1:$E$49,,0)</f>
        <v>6.75</v>
      </c>
      <c r="M778" s="9">
        <f t="shared" si="12"/>
        <v>20.25</v>
      </c>
      <c r="N778" s="3" t="str" cm="1">
        <f t="array" ref="N778">_xlfn.SWITCH(I778,
"Rob","Robusta",
"Exc","Excelsa",
"Ara","Arabica",
"Lib","Liberica",
"")</f>
        <v>Arabica</v>
      </c>
      <c r="O778" t="str" cm="1">
        <f t="array" ref="O778">_xlfn.SWITCH(J778,
"M","Medium",
"L","Light",
"D","Dark",
"")</f>
        <v>Medium</v>
      </c>
      <c r="P778" t="str">
        <f>_xlfn.XLOOKUP(Orders[[#This Row],[Customer ID]],customers!$A$1:$A$1001,customers!$I$1:$I$1001,,0)</f>
        <v>No</v>
      </c>
    </row>
    <row r="779" spans="1:16" x14ac:dyDescent="0.35">
      <c r="A779" s="2" t="s">
        <v>4881</v>
      </c>
      <c r="B779" s="4">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_xlfn.XLOOKUP(D779,products!$A$1:$A$49,products!$B$1:$B$49,,0)</f>
        <v>Ara</v>
      </c>
      <c r="J779" t="str">
        <f>_xlfn.XLOOKUP(D779,products!$A$1:$A$49,products!$C$1:$C$49,,0)</f>
        <v>L</v>
      </c>
      <c r="K779" s="7">
        <f>_xlfn.XLOOKUP(D779,products!$A$1:$A$49,products!$D$1:$D$49,,0)</f>
        <v>2.5</v>
      </c>
      <c r="L779" s="9">
        <f>_xlfn.XLOOKUP(D779,products!$A$1:$A$49,products!$E$1:$E$49,,0)</f>
        <v>29.784999999999997</v>
      </c>
      <c r="M779" s="9">
        <f t="shared" si="12"/>
        <v>59.569999999999993</v>
      </c>
      <c r="N779" s="3" t="str" cm="1">
        <f t="array" ref="N779">_xlfn.SWITCH(I779,
"Rob","Robusta",
"Exc","Excelsa",
"Ara","Arabica",
"Lib","Liberica",
"")</f>
        <v>Arabica</v>
      </c>
      <c r="O779" t="str" cm="1">
        <f t="array" ref="O779">_xlfn.SWITCH(J779,
"M","Medium",
"L","Light",
"D","Dark",
"")</f>
        <v>Light</v>
      </c>
      <c r="P779" t="str">
        <f>_xlfn.XLOOKUP(Orders[[#This Row],[Customer ID]],customers!$A$1:$A$1001,customers!$I$1:$I$1001,,0)</f>
        <v>No</v>
      </c>
    </row>
    <row r="780" spans="1:16" x14ac:dyDescent="0.35">
      <c r="A780" s="2" t="s">
        <v>4886</v>
      </c>
      <c r="B780" s="4">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_xlfn.XLOOKUP(D780,products!$A$1:$A$49,products!$B$1:$B$49,,0)</f>
        <v>Lib</v>
      </c>
      <c r="J780" t="str">
        <f>_xlfn.XLOOKUP(D780,products!$A$1:$A$49,products!$C$1:$C$49,,0)</f>
        <v>L</v>
      </c>
      <c r="K780" s="7">
        <f>_xlfn.XLOOKUP(D780,products!$A$1:$A$49,products!$D$1:$D$49,,0)</f>
        <v>0.5</v>
      </c>
      <c r="L780" s="9">
        <f>_xlfn.XLOOKUP(D780,products!$A$1:$A$49,products!$E$1:$E$49,,0)</f>
        <v>9.51</v>
      </c>
      <c r="M780" s="9">
        <f t="shared" si="12"/>
        <v>19.02</v>
      </c>
      <c r="N780" s="3" t="str" cm="1">
        <f t="array" ref="N780">_xlfn.SWITCH(I780,
"Rob","Robusta",
"Exc","Excelsa",
"Ara","Arabica",
"Lib","Liberica",
"")</f>
        <v>Liberica</v>
      </c>
      <c r="O780" t="str" cm="1">
        <f t="array" ref="O780">_xlfn.SWITCH(J780,
"M","Medium",
"L","Light",
"D","Dark",
"")</f>
        <v>Light</v>
      </c>
      <c r="P780" t="str">
        <f>_xlfn.XLOOKUP(Orders[[#This Row],[Customer ID]],customers!$A$1:$A$1001,customers!$I$1:$I$1001,,0)</f>
        <v>Yes</v>
      </c>
    </row>
    <row r="781" spans="1:16" x14ac:dyDescent="0.35">
      <c r="A781" s="2" t="s">
        <v>4892</v>
      </c>
      <c r="B781" s="4">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_xlfn.XLOOKUP(D781,products!$A$1:$A$49,products!$B$1:$B$49,,0)</f>
        <v>Lib</v>
      </c>
      <c r="J781" t="str">
        <f>_xlfn.XLOOKUP(D781,products!$A$1:$A$49,products!$C$1:$C$49,,0)</f>
        <v>D</v>
      </c>
      <c r="K781" s="7">
        <f>_xlfn.XLOOKUP(D781,products!$A$1:$A$49,products!$D$1:$D$49,,0)</f>
        <v>1</v>
      </c>
      <c r="L781" s="9">
        <f>_xlfn.XLOOKUP(D781,products!$A$1:$A$49,products!$E$1:$E$49,,0)</f>
        <v>12.95</v>
      </c>
      <c r="M781" s="9">
        <f t="shared" si="12"/>
        <v>77.699999999999989</v>
      </c>
      <c r="N781" s="3" t="str" cm="1">
        <f t="array" ref="N781">_xlfn.SWITCH(I781,
"Rob","Robusta",
"Exc","Excelsa",
"Ara","Arabica",
"Lib","Liberica",
"")</f>
        <v>Liberica</v>
      </c>
      <c r="O781" t="str" cm="1">
        <f t="array" ref="O781">_xlfn.SWITCH(J781,
"M","Medium",
"L","Light",
"D","Dark",
"")</f>
        <v>Dark</v>
      </c>
      <c r="P781" t="str">
        <f>_xlfn.XLOOKUP(Orders[[#This Row],[Customer ID]],customers!$A$1:$A$1001,customers!$I$1:$I$1001,,0)</f>
        <v>Yes</v>
      </c>
    </row>
    <row r="782" spans="1:16" x14ac:dyDescent="0.35">
      <c r="A782" s="2" t="s">
        <v>4898</v>
      </c>
      <c r="B782" s="4">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_xlfn.XLOOKUP(D782,products!$A$1:$A$49,products!$B$1:$B$49,,0)</f>
        <v>Exc</v>
      </c>
      <c r="J782" t="str">
        <f>_xlfn.XLOOKUP(D782,products!$A$1:$A$49,products!$C$1:$C$49,,0)</f>
        <v>M</v>
      </c>
      <c r="K782" s="7">
        <f>_xlfn.XLOOKUP(D782,products!$A$1:$A$49,products!$D$1:$D$49,,0)</f>
        <v>1</v>
      </c>
      <c r="L782" s="9">
        <f>_xlfn.XLOOKUP(D782,products!$A$1:$A$49,products!$E$1:$E$49,,0)</f>
        <v>13.75</v>
      </c>
      <c r="M782" s="9">
        <f t="shared" si="12"/>
        <v>41.25</v>
      </c>
      <c r="N782" s="3" t="str" cm="1">
        <f t="array" ref="N782">_xlfn.SWITCH(I782,
"Rob","Robusta",
"Exc","Excelsa",
"Ara","Arabica",
"Lib","Liberica",
"")</f>
        <v>Excelsa</v>
      </c>
      <c r="O782" t="str" cm="1">
        <f t="array" ref="O782">_xlfn.SWITCH(J782,
"M","Medium",
"L","Light",
"D","Dark",
"")</f>
        <v>Medium</v>
      </c>
      <c r="P782" t="str">
        <f>_xlfn.XLOOKUP(Orders[[#This Row],[Customer ID]],customers!$A$1:$A$1001,customers!$I$1:$I$1001,,0)</f>
        <v>No</v>
      </c>
    </row>
    <row r="783" spans="1:16" x14ac:dyDescent="0.35">
      <c r="A783" s="2" t="s">
        <v>4903</v>
      </c>
      <c r="B783" s="4">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_xlfn.XLOOKUP(D783,products!$A$1:$A$49,products!$B$1:$B$49,,0)</f>
        <v>Lib</v>
      </c>
      <c r="J783" t="str">
        <f>_xlfn.XLOOKUP(D783,products!$A$1:$A$49,products!$C$1:$C$49,,0)</f>
        <v>L</v>
      </c>
      <c r="K783" s="7">
        <f>_xlfn.XLOOKUP(D783,products!$A$1:$A$49,products!$D$1:$D$49,,0)</f>
        <v>2.5</v>
      </c>
      <c r="L783" s="9">
        <f>_xlfn.XLOOKUP(D783,products!$A$1:$A$49,products!$E$1:$E$49,,0)</f>
        <v>36.454999999999998</v>
      </c>
      <c r="M783" s="9">
        <f t="shared" si="12"/>
        <v>145.82</v>
      </c>
      <c r="N783" s="3" t="str" cm="1">
        <f t="array" ref="N783">_xlfn.SWITCH(I783,
"Rob","Robusta",
"Exc","Excelsa",
"Ara","Arabica",
"Lib","Liberica",
"")</f>
        <v>Liberica</v>
      </c>
      <c r="O783" t="str" cm="1">
        <f t="array" ref="O783">_xlfn.SWITCH(J783,
"M","Medium",
"L","Light",
"D","Dark",
"")</f>
        <v>Light</v>
      </c>
      <c r="P783" t="str">
        <f>_xlfn.XLOOKUP(Orders[[#This Row],[Customer ID]],customers!$A$1:$A$1001,customers!$I$1:$I$1001,,0)</f>
        <v>No</v>
      </c>
    </row>
    <row r="784" spans="1:16" x14ac:dyDescent="0.35">
      <c r="A784" s="2" t="s">
        <v>4909</v>
      </c>
      <c r="B784" s="4">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_xlfn.XLOOKUP(D784,products!$A$1:$A$49,products!$B$1:$B$49,,0)</f>
        <v>Exc</v>
      </c>
      <c r="J784" t="str">
        <f>_xlfn.XLOOKUP(D784,products!$A$1:$A$49,products!$C$1:$C$49,,0)</f>
        <v>L</v>
      </c>
      <c r="K784" s="7">
        <f>_xlfn.XLOOKUP(D784,products!$A$1:$A$49,products!$D$1:$D$49,,0)</f>
        <v>0.2</v>
      </c>
      <c r="L784" s="9">
        <f>_xlfn.XLOOKUP(D784,products!$A$1:$A$49,products!$E$1:$E$49,,0)</f>
        <v>4.4550000000000001</v>
      </c>
      <c r="M784" s="9">
        <f t="shared" si="12"/>
        <v>26.73</v>
      </c>
      <c r="N784" s="3" t="str" cm="1">
        <f t="array" ref="N784">_xlfn.SWITCH(I784,
"Rob","Robusta",
"Exc","Excelsa",
"Ara","Arabica",
"Lib","Liberica",
"")</f>
        <v>Excelsa</v>
      </c>
      <c r="O784" t="str" cm="1">
        <f t="array" ref="O784">_xlfn.SWITCH(J784,
"M","Medium",
"L","Light",
"D","Dark",
"")</f>
        <v>Light</v>
      </c>
      <c r="P784" t="str">
        <f>_xlfn.XLOOKUP(Orders[[#This Row],[Customer ID]],customers!$A$1:$A$1001,customers!$I$1:$I$1001,,0)</f>
        <v>No</v>
      </c>
    </row>
    <row r="785" spans="1:16" x14ac:dyDescent="0.35">
      <c r="A785" s="2" t="s">
        <v>4915</v>
      </c>
      <c r="B785" s="4">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_xlfn.XLOOKUP(D785,products!$A$1:$A$49,products!$B$1:$B$49,,0)</f>
        <v>Lib</v>
      </c>
      <c r="J785" t="str">
        <f>_xlfn.XLOOKUP(D785,products!$A$1:$A$49,products!$C$1:$C$49,,0)</f>
        <v>M</v>
      </c>
      <c r="K785" s="7">
        <f>_xlfn.XLOOKUP(D785,products!$A$1:$A$49,products!$D$1:$D$49,,0)</f>
        <v>0.5</v>
      </c>
      <c r="L785" s="9">
        <f>_xlfn.XLOOKUP(D785,products!$A$1:$A$49,products!$E$1:$E$49,,0)</f>
        <v>8.73</v>
      </c>
      <c r="M785" s="9">
        <f t="shared" si="12"/>
        <v>43.650000000000006</v>
      </c>
      <c r="N785" s="3" t="str" cm="1">
        <f t="array" ref="N785">_xlfn.SWITCH(I785,
"Rob","Robusta",
"Exc","Excelsa",
"Ara","Arabica",
"Lib","Liberica",
"")</f>
        <v>Liberica</v>
      </c>
      <c r="O785" t="str" cm="1">
        <f t="array" ref="O785">_xlfn.SWITCH(J785,
"M","Medium",
"L","Light",
"D","Dark",
"")</f>
        <v>Medium</v>
      </c>
      <c r="P785" t="str">
        <f>_xlfn.XLOOKUP(Orders[[#This Row],[Customer ID]],customers!$A$1:$A$1001,customers!$I$1:$I$1001,,0)</f>
        <v>Yes</v>
      </c>
    </row>
    <row r="786" spans="1:16" x14ac:dyDescent="0.35">
      <c r="A786" s="2" t="s">
        <v>4921</v>
      </c>
      <c r="B786" s="4">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_xlfn.XLOOKUP(D786,products!$A$1:$A$49,products!$B$1:$B$49,,0)</f>
        <v>Lib</v>
      </c>
      <c r="J786" t="str">
        <f>_xlfn.XLOOKUP(D786,products!$A$1:$A$49,products!$C$1:$C$49,,0)</f>
        <v>L</v>
      </c>
      <c r="K786" s="7">
        <f>_xlfn.XLOOKUP(D786,products!$A$1:$A$49,products!$D$1:$D$49,,0)</f>
        <v>1</v>
      </c>
      <c r="L786" s="9">
        <f>_xlfn.XLOOKUP(D786,products!$A$1:$A$49,products!$E$1:$E$49,,0)</f>
        <v>15.85</v>
      </c>
      <c r="M786" s="9">
        <f t="shared" si="12"/>
        <v>31.7</v>
      </c>
      <c r="N786" s="3" t="str" cm="1">
        <f t="array" ref="N786">_xlfn.SWITCH(I786,
"Rob","Robusta",
"Exc","Excelsa",
"Ara","Arabica",
"Lib","Liberica",
"")</f>
        <v>Liberica</v>
      </c>
      <c r="O786" t="str" cm="1">
        <f t="array" ref="O786">_xlfn.SWITCH(J786,
"M","Medium",
"L","Light",
"D","Dark",
"")</f>
        <v>Light</v>
      </c>
      <c r="P786" t="str">
        <f>_xlfn.XLOOKUP(Orders[[#This Row],[Customer ID]],customers!$A$1:$A$1001,customers!$I$1:$I$1001,,0)</f>
        <v>No</v>
      </c>
    </row>
    <row r="787" spans="1:16" x14ac:dyDescent="0.35">
      <c r="A787" s="2" t="s">
        <v>4926</v>
      </c>
      <c r="B787" s="4">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_xlfn.XLOOKUP(D787,products!$A$1:$A$49,products!$B$1:$B$49,,0)</f>
        <v>Ara</v>
      </c>
      <c r="J787" t="str">
        <f>_xlfn.XLOOKUP(D787,products!$A$1:$A$49,products!$C$1:$C$49,,0)</f>
        <v>D</v>
      </c>
      <c r="K787" s="7">
        <f>_xlfn.XLOOKUP(D787,products!$A$1:$A$49,products!$D$1:$D$49,,0)</f>
        <v>2.5</v>
      </c>
      <c r="L787" s="9">
        <f>_xlfn.XLOOKUP(D787,products!$A$1:$A$49,products!$E$1:$E$49,,0)</f>
        <v>22.884999999999998</v>
      </c>
      <c r="M787" s="9">
        <f t="shared" si="12"/>
        <v>22.884999999999998</v>
      </c>
      <c r="N787" s="3" t="str" cm="1">
        <f t="array" ref="N787">_xlfn.SWITCH(I787,
"Rob","Robusta",
"Exc","Excelsa",
"Ara","Arabica",
"Lib","Liberica",
"")</f>
        <v>Arabica</v>
      </c>
      <c r="O787" t="str" cm="1">
        <f t="array" ref="O787">_xlfn.SWITCH(J787,
"M","Medium",
"L","Light",
"D","Dark",
"")</f>
        <v>Dark</v>
      </c>
      <c r="P787" t="str">
        <f>_xlfn.XLOOKUP(Orders[[#This Row],[Customer ID]],customers!$A$1:$A$1001,customers!$I$1:$I$1001,,0)</f>
        <v>No</v>
      </c>
    </row>
    <row r="788" spans="1:16" x14ac:dyDescent="0.35">
      <c r="A788" s="2" t="s">
        <v>4932</v>
      </c>
      <c r="B788" s="4">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_xlfn.XLOOKUP(D788,products!$A$1:$A$49,products!$B$1:$B$49,,0)</f>
        <v>Exc</v>
      </c>
      <c r="J788" t="str">
        <f>_xlfn.XLOOKUP(D788,products!$A$1:$A$49,products!$C$1:$C$49,,0)</f>
        <v>D</v>
      </c>
      <c r="K788" s="7">
        <f>_xlfn.XLOOKUP(D788,products!$A$1:$A$49,products!$D$1:$D$49,,0)</f>
        <v>2.5</v>
      </c>
      <c r="L788" s="9">
        <f>_xlfn.XLOOKUP(D788,products!$A$1:$A$49,products!$E$1:$E$49,,0)</f>
        <v>27.945</v>
      </c>
      <c r="M788" s="9">
        <f t="shared" si="12"/>
        <v>27.945</v>
      </c>
      <c r="N788" s="3" t="str" cm="1">
        <f t="array" ref="N788">_xlfn.SWITCH(I788,
"Rob","Robusta",
"Exc","Excelsa",
"Ara","Arabica",
"Lib","Liberica",
"")</f>
        <v>Excelsa</v>
      </c>
      <c r="O788" t="str" cm="1">
        <f t="array" ref="O788">_xlfn.SWITCH(J788,
"M","Medium",
"L","Light",
"D","Dark",
"")</f>
        <v>Dark</v>
      </c>
      <c r="P788" t="str">
        <f>_xlfn.XLOOKUP(Orders[[#This Row],[Customer ID]],customers!$A$1:$A$1001,customers!$I$1:$I$1001,,0)</f>
        <v>Yes</v>
      </c>
    </row>
    <row r="789" spans="1:16" x14ac:dyDescent="0.35">
      <c r="A789" s="2" t="s">
        <v>4938</v>
      </c>
      <c r="B789" s="4">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_xlfn.XLOOKUP(D789,products!$A$1:$A$49,products!$B$1:$B$49,,0)</f>
        <v>Exc</v>
      </c>
      <c r="J789" t="str">
        <f>_xlfn.XLOOKUP(D789,products!$A$1:$A$49,products!$C$1:$C$49,,0)</f>
        <v>M</v>
      </c>
      <c r="K789" s="7">
        <f>_xlfn.XLOOKUP(D789,products!$A$1:$A$49,products!$D$1:$D$49,,0)</f>
        <v>1</v>
      </c>
      <c r="L789" s="9">
        <f>_xlfn.XLOOKUP(D789,products!$A$1:$A$49,products!$E$1:$E$49,,0)</f>
        <v>13.75</v>
      </c>
      <c r="M789" s="9">
        <f t="shared" si="12"/>
        <v>82.5</v>
      </c>
      <c r="N789" s="3" t="str" cm="1">
        <f t="array" ref="N789">_xlfn.SWITCH(I789,
"Rob","Robusta",
"Exc","Excelsa",
"Ara","Arabica",
"Lib","Liberica",
"")</f>
        <v>Excelsa</v>
      </c>
      <c r="O789" t="str" cm="1">
        <f t="array" ref="O789">_xlfn.SWITCH(J789,
"M","Medium",
"L","Light",
"D","Dark",
"")</f>
        <v>Medium</v>
      </c>
      <c r="P789" t="str">
        <f>_xlfn.XLOOKUP(Orders[[#This Row],[Customer ID]],customers!$A$1:$A$1001,customers!$I$1:$I$1001,,0)</f>
        <v>Yes</v>
      </c>
    </row>
    <row r="790" spans="1:16" x14ac:dyDescent="0.35">
      <c r="A790" s="2" t="s">
        <v>4943</v>
      </c>
      <c r="B790" s="4">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_xlfn.XLOOKUP(D790,products!$A$1:$A$49,products!$B$1:$B$49,,0)</f>
        <v>Rob</v>
      </c>
      <c r="J790" t="str">
        <f>_xlfn.XLOOKUP(D790,products!$A$1:$A$49,products!$C$1:$C$49,,0)</f>
        <v>M</v>
      </c>
      <c r="K790" s="7">
        <f>_xlfn.XLOOKUP(D790,products!$A$1:$A$49,products!$D$1:$D$49,,0)</f>
        <v>2.5</v>
      </c>
      <c r="L790" s="9">
        <f>_xlfn.XLOOKUP(D790,products!$A$1:$A$49,products!$E$1:$E$49,,0)</f>
        <v>22.884999999999998</v>
      </c>
      <c r="M790" s="9">
        <f t="shared" si="12"/>
        <v>45.769999999999996</v>
      </c>
      <c r="N790" s="3" t="str" cm="1">
        <f t="array" ref="N790">_xlfn.SWITCH(I790,
"Rob","Robusta",
"Exc","Excelsa",
"Ara","Arabica",
"Lib","Liberica",
"")</f>
        <v>Robusta</v>
      </c>
      <c r="O790" t="str" cm="1">
        <f t="array" ref="O790">_xlfn.SWITCH(J790,
"M","Medium",
"L","Light",
"D","Dark",
"")</f>
        <v>Medium</v>
      </c>
      <c r="P790" t="str">
        <f>_xlfn.XLOOKUP(Orders[[#This Row],[Customer ID]],customers!$A$1:$A$1001,customers!$I$1:$I$1001,,0)</f>
        <v>Yes</v>
      </c>
    </row>
    <row r="791" spans="1:16" x14ac:dyDescent="0.35">
      <c r="A791" s="2" t="s">
        <v>4949</v>
      </c>
      <c r="B791" s="4">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_xlfn.XLOOKUP(D791,products!$A$1:$A$49,products!$B$1:$B$49,,0)</f>
        <v>Ara</v>
      </c>
      <c r="J791" t="str">
        <f>_xlfn.XLOOKUP(D791,products!$A$1:$A$49,products!$C$1:$C$49,,0)</f>
        <v>L</v>
      </c>
      <c r="K791" s="7">
        <f>_xlfn.XLOOKUP(D791,products!$A$1:$A$49,products!$D$1:$D$49,,0)</f>
        <v>1</v>
      </c>
      <c r="L791" s="9">
        <f>_xlfn.XLOOKUP(D791,products!$A$1:$A$49,products!$E$1:$E$49,,0)</f>
        <v>12.95</v>
      </c>
      <c r="M791" s="9">
        <f t="shared" si="12"/>
        <v>77.699999999999989</v>
      </c>
      <c r="N791" s="3" t="str" cm="1">
        <f t="array" ref="N791">_xlfn.SWITCH(I791,
"Rob","Robusta",
"Exc","Excelsa",
"Ara","Arabica",
"Lib","Liberica",
"")</f>
        <v>Arabica</v>
      </c>
      <c r="O791" t="str" cm="1">
        <f t="array" ref="O791">_xlfn.SWITCH(J791,
"M","Medium",
"L","Light",
"D","Dark",
"")</f>
        <v>Light</v>
      </c>
      <c r="P791" t="str">
        <f>_xlfn.XLOOKUP(Orders[[#This Row],[Customer ID]],customers!$A$1:$A$1001,customers!$I$1:$I$1001,,0)</f>
        <v>No</v>
      </c>
    </row>
    <row r="792" spans="1:16" x14ac:dyDescent="0.35">
      <c r="A792" s="2" t="s">
        <v>4955</v>
      </c>
      <c r="B792" s="4">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_xlfn.XLOOKUP(D792,products!$A$1:$A$49,products!$B$1:$B$49,,0)</f>
        <v>Ara</v>
      </c>
      <c r="J792" t="str">
        <f>_xlfn.XLOOKUP(D792,products!$A$1:$A$49,products!$C$1:$C$49,,0)</f>
        <v>L</v>
      </c>
      <c r="K792" s="7">
        <f>_xlfn.XLOOKUP(D792,products!$A$1:$A$49,products!$D$1:$D$49,,0)</f>
        <v>0.5</v>
      </c>
      <c r="L792" s="9">
        <f>_xlfn.XLOOKUP(D792,products!$A$1:$A$49,products!$E$1:$E$49,,0)</f>
        <v>7.77</v>
      </c>
      <c r="M792" s="9">
        <f t="shared" si="12"/>
        <v>23.31</v>
      </c>
      <c r="N792" s="3" t="str" cm="1">
        <f t="array" ref="N792">_xlfn.SWITCH(I792,
"Rob","Robusta",
"Exc","Excelsa",
"Ara","Arabica",
"Lib","Liberica",
"")</f>
        <v>Arabica</v>
      </c>
      <c r="O792" t="str" cm="1">
        <f t="array" ref="O792">_xlfn.SWITCH(J792,
"M","Medium",
"L","Light",
"D","Dark",
"")</f>
        <v>Light</v>
      </c>
      <c r="P792" t="str">
        <f>_xlfn.XLOOKUP(Orders[[#This Row],[Customer ID]],customers!$A$1:$A$1001,customers!$I$1:$I$1001,,0)</f>
        <v>No</v>
      </c>
    </row>
    <row r="793" spans="1:16" x14ac:dyDescent="0.35">
      <c r="A793" s="2" t="s">
        <v>4961</v>
      </c>
      <c r="B793" s="4">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_xlfn.XLOOKUP(D793,products!$A$1:$A$49,products!$B$1:$B$49,,0)</f>
        <v>Lib</v>
      </c>
      <c r="J793" t="str">
        <f>_xlfn.XLOOKUP(D793,products!$A$1:$A$49,products!$C$1:$C$49,,0)</f>
        <v>L</v>
      </c>
      <c r="K793" s="7">
        <f>_xlfn.XLOOKUP(D793,products!$A$1:$A$49,products!$D$1:$D$49,,0)</f>
        <v>0.2</v>
      </c>
      <c r="L793" s="9">
        <f>_xlfn.XLOOKUP(D793,products!$A$1:$A$49,products!$E$1:$E$49,,0)</f>
        <v>4.7549999999999999</v>
      </c>
      <c r="M793" s="9">
        <f t="shared" si="12"/>
        <v>23.774999999999999</v>
      </c>
      <c r="N793" s="3" t="str" cm="1">
        <f t="array" ref="N793">_xlfn.SWITCH(I793,
"Rob","Robusta",
"Exc","Excelsa",
"Ara","Arabica",
"Lib","Liberica",
"")</f>
        <v>Liberica</v>
      </c>
      <c r="O793" t="str" cm="1">
        <f t="array" ref="O793">_xlfn.SWITCH(J793,
"M","Medium",
"L","Light",
"D","Dark",
"")</f>
        <v>Light</v>
      </c>
      <c r="P793" t="str">
        <f>_xlfn.XLOOKUP(Orders[[#This Row],[Customer ID]],customers!$A$1:$A$1001,customers!$I$1:$I$1001,,0)</f>
        <v>Yes</v>
      </c>
    </row>
    <row r="794" spans="1:16" x14ac:dyDescent="0.35">
      <c r="A794" s="2" t="s">
        <v>4967</v>
      </c>
      <c r="B794" s="4">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_xlfn.XLOOKUP(D794,products!$A$1:$A$49,products!$B$1:$B$49,,0)</f>
        <v>Lib</v>
      </c>
      <c r="J794" t="str">
        <f>_xlfn.XLOOKUP(D794,products!$A$1:$A$49,products!$C$1:$C$49,,0)</f>
        <v>M</v>
      </c>
      <c r="K794" s="7">
        <f>_xlfn.XLOOKUP(D794,products!$A$1:$A$49,products!$D$1:$D$49,,0)</f>
        <v>0.5</v>
      </c>
      <c r="L794" s="9">
        <f>_xlfn.XLOOKUP(D794,products!$A$1:$A$49,products!$E$1:$E$49,,0)</f>
        <v>8.73</v>
      </c>
      <c r="M794" s="9">
        <f t="shared" si="12"/>
        <v>52.38</v>
      </c>
      <c r="N794" s="3" t="str" cm="1">
        <f t="array" ref="N794">_xlfn.SWITCH(I794,
"Rob","Robusta",
"Exc","Excelsa",
"Ara","Arabica",
"Lib","Liberica",
"")</f>
        <v>Liberica</v>
      </c>
      <c r="O794" t="str" cm="1">
        <f t="array" ref="O794">_xlfn.SWITCH(J794,
"M","Medium",
"L","Light",
"D","Dark",
"")</f>
        <v>Medium</v>
      </c>
      <c r="P794" t="str">
        <f>_xlfn.XLOOKUP(Orders[[#This Row],[Customer ID]],customers!$A$1:$A$1001,customers!$I$1:$I$1001,,0)</f>
        <v>Yes</v>
      </c>
    </row>
    <row r="795" spans="1:16" x14ac:dyDescent="0.35">
      <c r="A795" s="2" t="s">
        <v>4973</v>
      </c>
      <c r="B795" s="4">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_xlfn.XLOOKUP(D795,products!$A$1:$A$49,products!$B$1:$B$49,,0)</f>
        <v>Rob</v>
      </c>
      <c r="J795" t="str">
        <f>_xlfn.XLOOKUP(D795,products!$A$1:$A$49,products!$C$1:$C$49,,0)</f>
        <v>L</v>
      </c>
      <c r="K795" s="7">
        <f>_xlfn.XLOOKUP(D795,products!$A$1:$A$49,products!$D$1:$D$49,,0)</f>
        <v>0.2</v>
      </c>
      <c r="L795" s="9">
        <f>_xlfn.XLOOKUP(D795,products!$A$1:$A$49,products!$E$1:$E$49,,0)</f>
        <v>3.5849999999999995</v>
      </c>
      <c r="M795" s="9">
        <f t="shared" si="12"/>
        <v>17.924999999999997</v>
      </c>
      <c r="N795" s="3" t="str" cm="1">
        <f t="array" ref="N795">_xlfn.SWITCH(I795,
"Rob","Robusta",
"Exc","Excelsa",
"Ara","Arabica",
"Lib","Liberica",
"")</f>
        <v>Robusta</v>
      </c>
      <c r="O795" t="str" cm="1">
        <f t="array" ref="O795">_xlfn.SWITCH(J795,
"M","Medium",
"L","Light",
"D","Dark",
"")</f>
        <v>Light</v>
      </c>
      <c r="P795" t="str">
        <f>_xlfn.XLOOKUP(Orders[[#This Row],[Customer ID]],customers!$A$1:$A$1001,customers!$I$1:$I$1001,,0)</f>
        <v>No</v>
      </c>
    </row>
    <row r="796" spans="1:16" x14ac:dyDescent="0.35">
      <c r="A796" s="2" t="s">
        <v>4979</v>
      </c>
      <c r="B796" s="4">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_xlfn.XLOOKUP(D796,products!$A$1:$A$49,products!$B$1:$B$49,,0)</f>
        <v>Ara</v>
      </c>
      <c r="J796" t="str">
        <f>_xlfn.XLOOKUP(D796,products!$A$1:$A$49,products!$C$1:$C$49,,0)</f>
        <v>L</v>
      </c>
      <c r="K796" s="7">
        <f>_xlfn.XLOOKUP(D796,products!$A$1:$A$49,products!$D$1:$D$49,,0)</f>
        <v>2.5</v>
      </c>
      <c r="L796" s="9">
        <f>_xlfn.XLOOKUP(D796,products!$A$1:$A$49,products!$E$1:$E$49,,0)</f>
        <v>29.784999999999997</v>
      </c>
      <c r="M796" s="9">
        <f t="shared" si="12"/>
        <v>148.92499999999998</v>
      </c>
      <c r="N796" s="3" t="str" cm="1">
        <f t="array" ref="N796">_xlfn.SWITCH(I796,
"Rob","Robusta",
"Exc","Excelsa",
"Ara","Arabica",
"Lib","Liberica",
"")</f>
        <v>Arabica</v>
      </c>
      <c r="O796" t="str" cm="1">
        <f t="array" ref="O796">_xlfn.SWITCH(J796,
"M","Medium",
"L","Light",
"D","Dark",
"")</f>
        <v>Light</v>
      </c>
      <c r="P796" t="str">
        <f>_xlfn.XLOOKUP(Orders[[#This Row],[Customer ID]],customers!$A$1:$A$1001,customers!$I$1:$I$1001,,0)</f>
        <v>No</v>
      </c>
    </row>
    <row r="797" spans="1:16" x14ac:dyDescent="0.35">
      <c r="A797" s="2" t="s">
        <v>4985</v>
      </c>
      <c r="B797" s="4">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_xlfn.XLOOKUP(D797,products!$A$1:$A$49,products!$B$1:$B$49,,0)</f>
        <v>Rob</v>
      </c>
      <c r="J797" t="str">
        <f>_xlfn.XLOOKUP(D797,products!$A$1:$A$49,products!$C$1:$C$49,,0)</f>
        <v>L</v>
      </c>
      <c r="K797" s="7">
        <f>_xlfn.XLOOKUP(D797,products!$A$1:$A$49,products!$D$1:$D$49,,0)</f>
        <v>0.5</v>
      </c>
      <c r="L797" s="9">
        <f>_xlfn.XLOOKUP(D797,products!$A$1:$A$49,products!$E$1:$E$49,,0)</f>
        <v>7.169999999999999</v>
      </c>
      <c r="M797" s="9">
        <f t="shared" si="12"/>
        <v>28.679999999999996</v>
      </c>
      <c r="N797" s="3" t="str" cm="1">
        <f t="array" ref="N797">_xlfn.SWITCH(I797,
"Rob","Robusta",
"Exc","Excelsa",
"Ara","Arabica",
"Lib","Liberica",
"")</f>
        <v>Robusta</v>
      </c>
      <c r="O797" t="str" cm="1">
        <f t="array" ref="O797">_xlfn.SWITCH(J797,
"M","Medium",
"L","Light",
"D","Dark",
"")</f>
        <v>Light</v>
      </c>
      <c r="P797" t="str">
        <f>_xlfn.XLOOKUP(Orders[[#This Row],[Customer ID]],customers!$A$1:$A$1001,customers!$I$1:$I$1001,,0)</f>
        <v>No</v>
      </c>
    </row>
    <row r="798" spans="1:16" x14ac:dyDescent="0.35">
      <c r="A798" s="2" t="s">
        <v>4991</v>
      </c>
      <c r="B798" s="4">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_xlfn.XLOOKUP(D798,products!$A$1:$A$49,products!$B$1:$B$49,,0)</f>
        <v>Lib</v>
      </c>
      <c r="J798" t="str">
        <f>_xlfn.XLOOKUP(D798,products!$A$1:$A$49,products!$C$1:$C$49,,0)</f>
        <v>L</v>
      </c>
      <c r="K798" s="7">
        <f>_xlfn.XLOOKUP(D798,products!$A$1:$A$49,products!$D$1:$D$49,,0)</f>
        <v>0.5</v>
      </c>
      <c r="L798" s="9">
        <f>_xlfn.XLOOKUP(D798,products!$A$1:$A$49,products!$E$1:$E$49,,0)</f>
        <v>9.51</v>
      </c>
      <c r="M798" s="9">
        <f t="shared" si="12"/>
        <v>9.51</v>
      </c>
      <c r="N798" s="3" t="str" cm="1">
        <f t="array" ref="N798">_xlfn.SWITCH(I798,
"Rob","Robusta",
"Exc","Excelsa",
"Ara","Arabica",
"Lib","Liberica",
"")</f>
        <v>Liberica</v>
      </c>
      <c r="O798" t="str" cm="1">
        <f t="array" ref="O798">_xlfn.SWITCH(J798,
"M","Medium",
"L","Light",
"D","Dark",
"")</f>
        <v>Light</v>
      </c>
      <c r="P798" t="str">
        <f>_xlfn.XLOOKUP(Orders[[#This Row],[Customer ID]],customers!$A$1:$A$1001,customers!$I$1:$I$1001,,0)</f>
        <v>No</v>
      </c>
    </row>
    <row r="799" spans="1:16" x14ac:dyDescent="0.35">
      <c r="A799" s="2" t="s">
        <v>4996</v>
      </c>
      <c r="B799" s="4">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_xlfn.XLOOKUP(D799,products!$A$1:$A$49,products!$B$1:$B$49,,0)</f>
        <v>Ara</v>
      </c>
      <c r="J799" t="str">
        <f>_xlfn.XLOOKUP(D799,products!$A$1:$A$49,products!$C$1:$C$49,,0)</f>
        <v>L</v>
      </c>
      <c r="K799" s="7">
        <f>_xlfn.XLOOKUP(D799,products!$A$1:$A$49,products!$D$1:$D$49,,0)</f>
        <v>0.5</v>
      </c>
      <c r="L799" s="9">
        <f>_xlfn.XLOOKUP(D799,products!$A$1:$A$49,products!$E$1:$E$49,,0)</f>
        <v>7.77</v>
      </c>
      <c r="M799" s="9">
        <f t="shared" si="12"/>
        <v>31.08</v>
      </c>
      <c r="N799" s="3" t="str" cm="1">
        <f t="array" ref="N799">_xlfn.SWITCH(I799,
"Rob","Robusta",
"Exc","Excelsa",
"Ara","Arabica",
"Lib","Liberica",
"")</f>
        <v>Arabica</v>
      </c>
      <c r="O799" t="str" cm="1">
        <f t="array" ref="O799">_xlfn.SWITCH(J799,
"M","Medium",
"L","Light",
"D","Dark",
"")</f>
        <v>Light</v>
      </c>
      <c r="P799" t="str">
        <f>_xlfn.XLOOKUP(Orders[[#This Row],[Customer ID]],customers!$A$1:$A$1001,customers!$I$1:$I$1001,,0)</f>
        <v>No</v>
      </c>
    </row>
    <row r="800" spans="1:16" x14ac:dyDescent="0.35">
      <c r="A800" s="2" t="s">
        <v>5002</v>
      </c>
      <c r="B800" s="4">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_xlfn.XLOOKUP(D800,products!$A$1:$A$49,products!$B$1:$B$49,,0)</f>
        <v>Rob</v>
      </c>
      <c r="J800" t="str">
        <f>_xlfn.XLOOKUP(D800,products!$A$1:$A$49,products!$C$1:$C$49,,0)</f>
        <v>D</v>
      </c>
      <c r="K800" s="7">
        <f>_xlfn.XLOOKUP(D800,products!$A$1:$A$49,products!$D$1:$D$49,,0)</f>
        <v>0.2</v>
      </c>
      <c r="L800" s="9">
        <f>_xlfn.XLOOKUP(D800,products!$A$1:$A$49,products!$E$1:$E$49,,0)</f>
        <v>2.6849999999999996</v>
      </c>
      <c r="M800" s="9">
        <f t="shared" si="12"/>
        <v>8.0549999999999997</v>
      </c>
      <c r="N800" s="3" t="str" cm="1">
        <f t="array" ref="N800">_xlfn.SWITCH(I800,
"Rob","Robusta",
"Exc","Excelsa",
"Ara","Arabica",
"Lib","Liberica",
"")</f>
        <v>Robusta</v>
      </c>
      <c r="O800" t="str" cm="1">
        <f t="array" ref="O800">_xlfn.SWITCH(J800,
"M","Medium",
"L","Light",
"D","Dark",
"")</f>
        <v>Dark</v>
      </c>
      <c r="P800" t="str">
        <f>_xlfn.XLOOKUP(Orders[[#This Row],[Customer ID]],customers!$A$1:$A$1001,customers!$I$1:$I$1001,,0)</f>
        <v>Yes</v>
      </c>
    </row>
    <row r="801" spans="1:16" x14ac:dyDescent="0.35">
      <c r="A801" s="2" t="s">
        <v>5008</v>
      </c>
      <c r="B801" s="4">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_xlfn.XLOOKUP(D801,products!$A$1:$A$49,products!$B$1:$B$49,,0)</f>
        <v>Exc</v>
      </c>
      <c r="J801" t="str">
        <f>_xlfn.XLOOKUP(D801,products!$A$1:$A$49,products!$C$1:$C$49,,0)</f>
        <v>D</v>
      </c>
      <c r="K801" s="7">
        <f>_xlfn.XLOOKUP(D801,products!$A$1:$A$49,products!$D$1:$D$49,,0)</f>
        <v>1</v>
      </c>
      <c r="L801" s="9">
        <f>_xlfn.XLOOKUP(D801,products!$A$1:$A$49,products!$E$1:$E$49,,0)</f>
        <v>12.15</v>
      </c>
      <c r="M801" s="9">
        <f t="shared" si="12"/>
        <v>36.450000000000003</v>
      </c>
      <c r="N801" s="3" t="str" cm="1">
        <f t="array" ref="N801">_xlfn.SWITCH(I801,
"Rob","Robusta",
"Exc","Excelsa",
"Ara","Arabica",
"Lib","Liberica",
"")</f>
        <v>Excelsa</v>
      </c>
      <c r="O801" t="str" cm="1">
        <f t="array" ref="O801">_xlfn.SWITCH(J801,
"M","Medium",
"L","Light",
"D","Dark",
"")</f>
        <v>Dark</v>
      </c>
      <c r="P801" t="str">
        <f>_xlfn.XLOOKUP(Orders[[#This Row],[Customer ID]],customers!$A$1:$A$1001,customers!$I$1:$I$1001,,0)</f>
        <v>Yes</v>
      </c>
    </row>
    <row r="802" spans="1:16" x14ac:dyDescent="0.35">
      <c r="A802" s="2" t="s">
        <v>5012</v>
      </c>
      <c r="B802" s="4">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_xlfn.XLOOKUP(D802,products!$A$1:$A$49,products!$B$1:$B$49,,0)</f>
        <v>Rob</v>
      </c>
      <c r="J802" t="str">
        <f>_xlfn.XLOOKUP(D802,products!$A$1:$A$49,products!$C$1:$C$49,,0)</f>
        <v>D</v>
      </c>
      <c r="K802" s="7">
        <f>_xlfn.XLOOKUP(D802,products!$A$1:$A$49,products!$D$1:$D$49,,0)</f>
        <v>0.2</v>
      </c>
      <c r="L802" s="9">
        <f>_xlfn.XLOOKUP(D802,products!$A$1:$A$49,products!$E$1:$E$49,,0)</f>
        <v>2.6849999999999996</v>
      </c>
      <c r="M802" s="9">
        <f t="shared" si="12"/>
        <v>16.11</v>
      </c>
      <c r="N802" s="3" t="str" cm="1">
        <f t="array" ref="N802">_xlfn.SWITCH(I802,
"Rob","Robusta",
"Exc","Excelsa",
"Ara","Arabica",
"Lib","Liberica",
"")</f>
        <v>Robusta</v>
      </c>
      <c r="O802" t="str" cm="1">
        <f t="array" ref="O802">_xlfn.SWITCH(J802,
"M","Medium",
"L","Light",
"D","Dark",
"")</f>
        <v>Dark</v>
      </c>
      <c r="P802" t="str">
        <f>_xlfn.XLOOKUP(Orders[[#This Row],[Customer ID]],customers!$A$1:$A$1001,customers!$I$1:$I$1001,,0)</f>
        <v>No</v>
      </c>
    </row>
    <row r="803" spans="1:16" x14ac:dyDescent="0.35">
      <c r="A803" s="2" t="s">
        <v>5018</v>
      </c>
      <c r="B803" s="4">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_xlfn.XLOOKUP(D803,products!$A$1:$A$49,products!$B$1:$B$49,,0)</f>
        <v>Rob</v>
      </c>
      <c r="J803" t="str">
        <f>_xlfn.XLOOKUP(D803,products!$A$1:$A$49,products!$C$1:$C$49,,0)</f>
        <v>D</v>
      </c>
      <c r="K803" s="7">
        <f>_xlfn.XLOOKUP(D803,products!$A$1:$A$49,products!$D$1:$D$49,,0)</f>
        <v>2.5</v>
      </c>
      <c r="L803" s="9">
        <f>_xlfn.XLOOKUP(D803,products!$A$1:$A$49,products!$E$1:$E$49,,0)</f>
        <v>20.584999999999997</v>
      </c>
      <c r="M803" s="9">
        <f t="shared" si="12"/>
        <v>41.169999999999995</v>
      </c>
      <c r="N803" s="3" t="str" cm="1">
        <f t="array" ref="N803">_xlfn.SWITCH(I803,
"Rob","Robusta",
"Exc","Excelsa",
"Ara","Arabica",
"Lib","Liberica",
"")</f>
        <v>Robusta</v>
      </c>
      <c r="O803" t="str" cm="1">
        <f t="array" ref="O803">_xlfn.SWITCH(J803,
"M","Medium",
"L","Light",
"D","Dark",
"")</f>
        <v>Dark</v>
      </c>
      <c r="P803" t="str">
        <f>_xlfn.XLOOKUP(Orders[[#This Row],[Customer ID]],customers!$A$1:$A$1001,customers!$I$1:$I$1001,,0)</f>
        <v>Yes</v>
      </c>
    </row>
    <row r="804" spans="1:16" x14ac:dyDescent="0.35">
      <c r="A804" s="2" t="s">
        <v>5024</v>
      </c>
      <c r="B804" s="4">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_xlfn.XLOOKUP(D804,products!$A$1:$A$49,products!$B$1:$B$49,,0)</f>
        <v>Rob</v>
      </c>
      <c r="J804" t="str">
        <f>_xlfn.XLOOKUP(D804,products!$A$1:$A$49,products!$C$1:$C$49,,0)</f>
        <v>D</v>
      </c>
      <c r="K804" s="7">
        <f>_xlfn.XLOOKUP(D804,products!$A$1:$A$49,products!$D$1:$D$49,,0)</f>
        <v>0.2</v>
      </c>
      <c r="L804" s="9">
        <f>_xlfn.XLOOKUP(D804,products!$A$1:$A$49,products!$E$1:$E$49,,0)</f>
        <v>2.6849999999999996</v>
      </c>
      <c r="M804" s="9">
        <f t="shared" si="12"/>
        <v>10.739999999999998</v>
      </c>
      <c r="N804" s="3" t="str" cm="1">
        <f t="array" ref="N804">_xlfn.SWITCH(I804,
"Rob","Robusta",
"Exc","Excelsa",
"Ara","Arabica",
"Lib","Liberica",
"")</f>
        <v>Robusta</v>
      </c>
      <c r="O804" t="str" cm="1">
        <f t="array" ref="O804">_xlfn.SWITCH(J804,
"M","Medium",
"L","Light",
"D","Dark",
"")</f>
        <v>Dark</v>
      </c>
      <c r="P804" t="str">
        <f>_xlfn.XLOOKUP(Orders[[#This Row],[Customer ID]],customers!$A$1:$A$1001,customers!$I$1:$I$1001,,0)</f>
        <v>No</v>
      </c>
    </row>
    <row r="805" spans="1:16" x14ac:dyDescent="0.35">
      <c r="A805" s="2" t="s">
        <v>5030</v>
      </c>
      <c r="B805" s="4">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_xlfn.XLOOKUP(D805,products!$A$1:$A$49,products!$B$1:$B$49,,0)</f>
        <v>Exc</v>
      </c>
      <c r="J805" t="str">
        <f>_xlfn.XLOOKUP(D805,products!$A$1:$A$49,products!$C$1:$C$49,,0)</f>
        <v>M</v>
      </c>
      <c r="K805" s="7">
        <f>_xlfn.XLOOKUP(D805,products!$A$1:$A$49,products!$D$1:$D$49,,0)</f>
        <v>2.5</v>
      </c>
      <c r="L805" s="9">
        <f>_xlfn.XLOOKUP(D805,products!$A$1:$A$49,products!$E$1:$E$49,,0)</f>
        <v>31.624999999999996</v>
      </c>
      <c r="M805" s="9">
        <f t="shared" si="12"/>
        <v>126.49999999999999</v>
      </c>
      <c r="N805" s="3" t="str" cm="1">
        <f t="array" ref="N805">_xlfn.SWITCH(I805,
"Rob","Robusta",
"Exc","Excelsa",
"Ara","Arabica",
"Lib","Liberica",
"")</f>
        <v>Excelsa</v>
      </c>
      <c r="O805" t="str" cm="1">
        <f t="array" ref="O805">_xlfn.SWITCH(J805,
"M","Medium",
"L","Light",
"D","Dark",
"")</f>
        <v>Medium</v>
      </c>
      <c r="P805" t="str">
        <f>_xlfn.XLOOKUP(Orders[[#This Row],[Customer ID]],customers!$A$1:$A$1001,customers!$I$1:$I$1001,,0)</f>
        <v>No</v>
      </c>
    </row>
    <row r="806" spans="1:16" x14ac:dyDescent="0.35">
      <c r="A806" s="2" t="s">
        <v>5035</v>
      </c>
      <c r="B806" s="4">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_xlfn.XLOOKUP(D806,products!$A$1:$A$49,products!$B$1:$B$49,,0)</f>
        <v>Rob</v>
      </c>
      <c r="J806" t="str">
        <f>_xlfn.XLOOKUP(D806,products!$A$1:$A$49,products!$C$1:$C$49,,0)</f>
        <v>L</v>
      </c>
      <c r="K806" s="7">
        <f>_xlfn.XLOOKUP(D806,products!$A$1:$A$49,products!$D$1:$D$49,,0)</f>
        <v>1</v>
      </c>
      <c r="L806" s="9">
        <f>_xlfn.XLOOKUP(D806,products!$A$1:$A$49,products!$E$1:$E$49,,0)</f>
        <v>11.95</v>
      </c>
      <c r="M806" s="9">
        <f t="shared" si="12"/>
        <v>23.9</v>
      </c>
      <c r="N806" s="3" t="str" cm="1">
        <f t="array" ref="N806">_xlfn.SWITCH(I806,
"Rob","Robusta",
"Exc","Excelsa",
"Ara","Arabica",
"Lib","Liberica",
"")</f>
        <v>Robusta</v>
      </c>
      <c r="O806" t="str" cm="1">
        <f t="array" ref="O806">_xlfn.SWITCH(J806,
"M","Medium",
"L","Light",
"D","Dark",
"")</f>
        <v>Light</v>
      </c>
      <c r="P806" t="str">
        <f>_xlfn.XLOOKUP(Orders[[#This Row],[Customer ID]],customers!$A$1:$A$1001,customers!$I$1:$I$1001,,0)</f>
        <v>No</v>
      </c>
    </row>
    <row r="807" spans="1:16" x14ac:dyDescent="0.35">
      <c r="A807" s="2" t="s">
        <v>5040</v>
      </c>
      <c r="B807" s="4">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_xlfn.XLOOKUP(D807,products!$A$1:$A$49,products!$B$1:$B$49,,0)</f>
        <v>Rob</v>
      </c>
      <c r="J807" t="str">
        <f>_xlfn.XLOOKUP(D807,products!$A$1:$A$49,products!$C$1:$C$49,,0)</f>
        <v>M</v>
      </c>
      <c r="K807" s="7">
        <f>_xlfn.XLOOKUP(D807,products!$A$1:$A$49,products!$D$1:$D$49,,0)</f>
        <v>0.5</v>
      </c>
      <c r="L807" s="9">
        <f>_xlfn.XLOOKUP(D807,products!$A$1:$A$49,products!$E$1:$E$49,,0)</f>
        <v>5.97</v>
      </c>
      <c r="M807" s="9">
        <f t="shared" si="12"/>
        <v>5.97</v>
      </c>
      <c r="N807" s="3" t="str" cm="1">
        <f t="array" ref="N807">_xlfn.SWITCH(I807,
"Rob","Robusta",
"Exc","Excelsa",
"Ara","Arabica",
"Lib","Liberica",
"")</f>
        <v>Robusta</v>
      </c>
      <c r="O807" t="str" cm="1">
        <f t="array" ref="O807">_xlfn.SWITCH(J807,
"M","Medium",
"L","Light",
"D","Dark",
"")</f>
        <v>Medium</v>
      </c>
      <c r="P807" t="str">
        <f>_xlfn.XLOOKUP(Orders[[#This Row],[Customer ID]],customers!$A$1:$A$1001,customers!$I$1:$I$1001,,0)</f>
        <v>No</v>
      </c>
    </row>
    <row r="808" spans="1:16" x14ac:dyDescent="0.35">
      <c r="A808" s="2" t="s">
        <v>5046</v>
      </c>
      <c r="B808" s="4">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_xlfn.XLOOKUP(D808,products!$A$1:$A$49,products!$B$1:$B$49,,0)</f>
        <v>Lib</v>
      </c>
      <c r="J808" t="str">
        <f>_xlfn.XLOOKUP(D808,products!$A$1:$A$49,products!$C$1:$C$49,,0)</f>
        <v>D</v>
      </c>
      <c r="K808" s="7">
        <f>_xlfn.XLOOKUP(D808,products!$A$1:$A$49,products!$D$1:$D$49,,0)</f>
        <v>0.2</v>
      </c>
      <c r="L808" s="9">
        <f>_xlfn.XLOOKUP(D808,products!$A$1:$A$49,products!$E$1:$E$49,,0)</f>
        <v>3.8849999999999998</v>
      </c>
      <c r="M808" s="9">
        <f t="shared" si="12"/>
        <v>7.77</v>
      </c>
      <c r="N808" s="3" t="str" cm="1">
        <f t="array" ref="N808">_xlfn.SWITCH(I808,
"Rob","Robusta",
"Exc","Excelsa",
"Ara","Arabica",
"Lib","Liberica",
"")</f>
        <v>Liberica</v>
      </c>
      <c r="O808" t="str" cm="1">
        <f t="array" ref="O808">_xlfn.SWITCH(J808,
"M","Medium",
"L","Light",
"D","Dark",
"")</f>
        <v>Dark</v>
      </c>
      <c r="P808" t="str">
        <f>_xlfn.XLOOKUP(Orders[[#This Row],[Customer ID]],customers!$A$1:$A$1001,customers!$I$1:$I$1001,,0)</f>
        <v>Yes</v>
      </c>
    </row>
    <row r="809" spans="1:16" x14ac:dyDescent="0.35">
      <c r="A809" s="2" t="s">
        <v>5050</v>
      </c>
      <c r="B809" s="4">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_xlfn.XLOOKUP(D809,products!$A$1:$A$49,products!$B$1:$B$49,,0)</f>
        <v>Lib</v>
      </c>
      <c r="J809" t="str">
        <f>_xlfn.XLOOKUP(D809,products!$A$1:$A$49,products!$C$1:$C$49,,0)</f>
        <v>D</v>
      </c>
      <c r="K809" s="7">
        <f>_xlfn.XLOOKUP(D809,products!$A$1:$A$49,products!$D$1:$D$49,,0)</f>
        <v>0.5</v>
      </c>
      <c r="L809" s="9">
        <f>_xlfn.XLOOKUP(D809,products!$A$1:$A$49,products!$E$1:$E$49,,0)</f>
        <v>7.77</v>
      </c>
      <c r="M809" s="9">
        <f t="shared" si="12"/>
        <v>23.31</v>
      </c>
      <c r="N809" s="3" t="str" cm="1">
        <f t="array" ref="N809">_xlfn.SWITCH(I809,
"Rob","Robusta",
"Exc","Excelsa",
"Ara","Arabica",
"Lib","Liberica",
"")</f>
        <v>Liberica</v>
      </c>
      <c r="O809" t="str" cm="1">
        <f t="array" ref="O809">_xlfn.SWITCH(J809,
"M","Medium",
"L","Light",
"D","Dark",
"")</f>
        <v>Dark</v>
      </c>
      <c r="P809" t="str">
        <f>_xlfn.XLOOKUP(Orders[[#This Row],[Customer ID]],customers!$A$1:$A$1001,customers!$I$1:$I$1001,,0)</f>
        <v>No</v>
      </c>
    </row>
    <row r="810" spans="1:16" x14ac:dyDescent="0.35">
      <c r="A810" s="2" t="s">
        <v>5056</v>
      </c>
      <c r="B810" s="4">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_xlfn.XLOOKUP(D810,products!$A$1:$A$49,products!$B$1:$B$49,,0)</f>
        <v>Rob</v>
      </c>
      <c r="J810" t="str">
        <f>_xlfn.XLOOKUP(D810,products!$A$1:$A$49,products!$C$1:$C$49,,0)</f>
        <v>L</v>
      </c>
      <c r="K810" s="7">
        <f>_xlfn.XLOOKUP(D810,products!$A$1:$A$49,products!$D$1:$D$49,,0)</f>
        <v>2.5</v>
      </c>
      <c r="L810" s="9">
        <f>_xlfn.XLOOKUP(D810,products!$A$1:$A$49,products!$E$1:$E$49,,0)</f>
        <v>27.484999999999996</v>
      </c>
      <c r="M810" s="9">
        <f t="shared" si="12"/>
        <v>137.42499999999998</v>
      </c>
      <c r="N810" s="3" t="str" cm="1">
        <f t="array" ref="N810">_xlfn.SWITCH(I810,
"Rob","Robusta",
"Exc","Excelsa",
"Ara","Arabica",
"Lib","Liberica",
"")</f>
        <v>Robusta</v>
      </c>
      <c r="O810" t="str" cm="1">
        <f t="array" ref="O810">_xlfn.SWITCH(J810,
"M","Medium",
"L","Light",
"D","Dark",
"")</f>
        <v>Light</v>
      </c>
      <c r="P810" t="str">
        <f>_xlfn.XLOOKUP(Orders[[#This Row],[Customer ID]],customers!$A$1:$A$1001,customers!$I$1:$I$1001,,0)</f>
        <v>No</v>
      </c>
    </row>
    <row r="811" spans="1:16" x14ac:dyDescent="0.35">
      <c r="A811" s="2" t="s">
        <v>5062</v>
      </c>
      <c r="B811" s="4">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_xlfn.XLOOKUP(D811,products!$A$1:$A$49,products!$B$1:$B$49,,0)</f>
        <v>Rob</v>
      </c>
      <c r="J811" t="str">
        <f>_xlfn.XLOOKUP(D811,products!$A$1:$A$49,products!$C$1:$C$49,,0)</f>
        <v>D</v>
      </c>
      <c r="K811" s="7">
        <f>_xlfn.XLOOKUP(D811,products!$A$1:$A$49,products!$D$1:$D$49,,0)</f>
        <v>0.2</v>
      </c>
      <c r="L811" s="9">
        <f>_xlfn.XLOOKUP(D811,products!$A$1:$A$49,products!$E$1:$E$49,,0)</f>
        <v>2.6849999999999996</v>
      </c>
      <c r="M811" s="9">
        <f t="shared" si="12"/>
        <v>8.0549999999999997</v>
      </c>
      <c r="N811" s="3" t="str" cm="1">
        <f t="array" ref="N811">_xlfn.SWITCH(I811,
"Rob","Robusta",
"Exc","Excelsa",
"Ara","Arabica",
"Lib","Liberica",
"")</f>
        <v>Robusta</v>
      </c>
      <c r="O811" t="str" cm="1">
        <f t="array" ref="O811">_xlfn.SWITCH(J811,
"M","Medium",
"L","Light",
"D","Dark",
"")</f>
        <v>Dark</v>
      </c>
      <c r="P811" t="str">
        <f>_xlfn.XLOOKUP(Orders[[#This Row],[Customer ID]],customers!$A$1:$A$1001,customers!$I$1:$I$1001,,0)</f>
        <v>Yes</v>
      </c>
    </row>
    <row r="812" spans="1:16" x14ac:dyDescent="0.35">
      <c r="A812" s="2" t="s">
        <v>5067</v>
      </c>
      <c r="B812" s="4">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_xlfn.XLOOKUP(D812,products!$A$1:$A$49,products!$B$1:$B$49,,0)</f>
        <v>Lib</v>
      </c>
      <c r="J812" t="str">
        <f>_xlfn.XLOOKUP(D812,products!$A$1:$A$49,products!$C$1:$C$49,,0)</f>
        <v>L</v>
      </c>
      <c r="K812" s="7">
        <f>_xlfn.XLOOKUP(D812,products!$A$1:$A$49,products!$D$1:$D$49,,0)</f>
        <v>0.5</v>
      </c>
      <c r="L812" s="9">
        <f>_xlfn.XLOOKUP(D812,products!$A$1:$A$49,products!$E$1:$E$49,,0)</f>
        <v>9.51</v>
      </c>
      <c r="M812" s="9">
        <f t="shared" si="12"/>
        <v>28.53</v>
      </c>
      <c r="N812" s="3" t="str" cm="1">
        <f t="array" ref="N812">_xlfn.SWITCH(I812,
"Rob","Robusta",
"Exc","Excelsa",
"Ara","Arabica",
"Lib","Liberica",
"")</f>
        <v>Liberica</v>
      </c>
      <c r="O812" t="str" cm="1">
        <f t="array" ref="O812">_xlfn.SWITCH(J812,
"M","Medium",
"L","Light",
"D","Dark",
"")</f>
        <v>Light</v>
      </c>
      <c r="P812" t="str">
        <f>_xlfn.XLOOKUP(Orders[[#This Row],[Customer ID]],customers!$A$1:$A$1001,customers!$I$1:$I$1001,,0)</f>
        <v>No</v>
      </c>
    </row>
    <row r="813" spans="1:16" x14ac:dyDescent="0.35">
      <c r="A813" s="2" t="s">
        <v>5073</v>
      </c>
      <c r="B813" s="4">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_xlfn.XLOOKUP(D813,products!$A$1:$A$49,products!$B$1:$B$49,,0)</f>
        <v>Ara</v>
      </c>
      <c r="J813" t="str">
        <f>_xlfn.XLOOKUP(D813,products!$A$1:$A$49,products!$C$1:$C$49,,0)</f>
        <v>M</v>
      </c>
      <c r="K813" s="7">
        <f>_xlfn.XLOOKUP(D813,products!$A$1:$A$49,products!$D$1:$D$49,,0)</f>
        <v>1</v>
      </c>
      <c r="L813" s="9">
        <f>_xlfn.XLOOKUP(D813,products!$A$1:$A$49,products!$E$1:$E$49,,0)</f>
        <v>11.25</v>
      </c>
      <c r="M813" s="9">
        <f t="shared" si="12"/>
        <v>67.5</v>
      </c>
      <c r="N813" s="3" t="str" cm="1">
        <f t="array" ref="N813">_xlfn.SWITCH(I813,
"Rob","Robusta",
"Exc","Excelsa",
"Ara","Arabica",
"Lib","Liberica",
"")</f>
        <v>Arabica</v>
      </c>
      <c r="O813" t="str" cm="1">
        <f t="array" ref="O813">_xlfn.SWITCH(J813,
"M","Medium",
"L","Light",
"D","Dark",
"")</f>
        <v>Medium</v>
      </c>
      <c r="P813" t="str">
        <f>_xlfn.XLOOKUP(Orders[[#This Row],[Customer ID]],customers!$A$1:$A$1001,customers!$I$1:$I$1001,,0)</f>
        <v>Yes</v>
      </c>
    </row>
    <row r="814" spans="1:16" x14ac:dyDescent="0.35">
      <c r="A814" s="2" t="s">
        <v>5073</v>
      </c>
      <c r="B814" s="4">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_xlfn.XLOOKUP(D814,products!$A$1:$A$49,products!$B$1:$B$49,,0)</f>
        <v>Lib</v>
      </c>
      <c r="J814" t="str">
        <f>_xlfn.XLOOKUP(D814,products!$A$1:$A$49,products!$C$1:$C$49,,0)</f>
        <v>D</v>
      </c>
      <c r="K814" s="7">
        <f>_xlfn.XLOOKUP(D814,products!$A$1:$A$49,products!$D$1:$D$49,,0)</f>
        <v>2.5</v>
      </c>
      <c r="L814" s="9">
        <f>_xlfn.XLOOKUP(D814,products!$A$1:$A$49,products!$E$1:$E$49,,0)</f>
        <v>29.784999999999997</v>
      </c>
      <c r="M814" s="9">
        <f t="shared" si="12"/>
        <v>178.70999999999998</v>
      </c>
      <c r="N814" s="3" t="str" cm="1">
        <f t="array" ref="N814">_xlfn.SWITCH(I814,
"Rob","Robusta",
"Exc","Excelsa",
"Ara","Arabica",
"Lib","Liberica",
"")</f>
        <v>Liberica</v>
      </c>
      <c r="O814" t="str" cm="1">
        <f t="array" ref="O814">_xlfn.SWITCH(J814,
"M","Medium",
"L","Light",
"D","Dark",
"")</f>
        <v>Dark</v>
      </c>
      <c r="P814" t="str">
        <f>_xlfn.XLOOKUP(Orders[[#This Row],[Customer ID]],customers!$A$1:$A$1001,customers!$I$1:$I$1001,,0)</f>
        <v>Yes</v>
      </c>
    </row>
    <row r="815" spans="1:16" x14ac:dyDescent="0.35">
      <c r="A815" s="2" t="s">
        <v>5084</v>
      </c>
      <c r="B815" s="4">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_xlfn.XLOOKUP(D815,products!$A$1:$A$49,products!$B$1:$B$49,,0)</f>
        <v>Exc</v>
      </c>
      <c r="J815" t="str">
        <f>_xlfn.XLOOKUP(D815,products!$A$1:$A$49,products!$C$1:$C$49,,0)</f>
        <v>M</v>
      </c>
      <c r="K815" s="7">
        <f>_xlfn.XLOOKUP(D815,products!$A$1:$A$49,products!$D$1:$D$49,,0)</f>
        <v>2.5</v>
      </c>
      <c r="L815" s="9">
        <f>_xlfn.XLOOKUP(D815,products!$A$1:$A$49,products!$E$1:$E$49,,0)</f>
        <v>31.624999999999996</v>
      </c>
      <c r="M815" s="9">
        <f t="shared" si="12"/>
        <v>31.624999999999996</v>
      </c>
      <c r="N815" s="3" t="str" cm="1">
        <f t="array" ref="N815">_xlfn.SWITCH(I815,
"Rob","Robusta",
"Exc","Excelsa",
"Ara","Arabica",
"Lib","Liberica",
"")</f>
        <v>Excelsa</v>
      </c>
      <c r="O815" t="str" cm="1">
        <f t="array" ref="O815">_xlfn.SWITCH(J815,
"M","Medium",
"L","Light",
"D","Dark",
"")</f>
        <v>Medium</v>
      </c>
      <c r="P815" t="str">
        <f>_xlfn.XLOOKUP(Orders[[#This Row],[Customer ID]],customers!$A$1:$A$1001,customers!$I$1:$I$1001,,0)</f>
        <v>Yes</v>
      </c>
    </row>
    <row r="816" spans="1:16" x14ac:dyDescent="0.35">
      <c r="A816" s="2" t="s">
        <v>5090</v>
      </c>
      <c r="B816" s="4">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_xlfn.XLOOKUP(D816,products!$A$1:$A$49,products!$B$1:$B$49,,0)</f>
        <v>Exc</v>
      </c>
      <c r="J816" t="str">
        <f>_xlfn.XLOOKUP(D816,products!$A$1:$A$49,products!$C$1:$C$49,,0)</f>
        <v>L</v>
      </c>
      <c r="K816" s="7">
        <f>_xlfn.XLOOKUP(D816,products!$A$1:$A$49,products!$D$1:$D$49,,0)</f>
        <v>0.2</v>
      </c>
      <c r="L816" s="9">
        <f>_xlfn.XLOOKUP(D816,products!$A$1:$A$49,products!$E$1:$E$49,,0)</f>
        <v>4.4550000000000001</v>
      </c>
      <c r="M816" s="9">
        <f t="shared" si="12"/>
        <v>8.91</v>
      </c>
      <c r="N816" s="3" t="str" cm="1">
        <f t="array" ref="N816">_xlfn.SWITCH(I816,
"Rob","Robusta",
"Exc","Excelsa",
"Ara","Arabica",
"Lib","Liberica",
"")</f>
        <v>Excelsa</v>
      </c>
      <c r="O816" t="str" cm="1">
        <f t="array" ref="O816">_xlfn.SWITCH(J816,
"M","Medium",
"L","Light",
"D","Dark",
"")</f>
        <v>Light</v>
      </c>
      <c r="P816" t="str">
        <f>_xlfn.XLOOKUP(Orders[[#This Row],[Customer ID]],customers!$A$1:$A$1001,customers!$I$1:$I$1001,,0)</f>
        <v>No</v>
      </c>
    </row>
    <row r="817" spans="1:16" x14ac:dyDescent="0.35">
      <c r="A817" s="2" t="s">
        <v>5096</v>
      </c>
      <c r="B817" s="4">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_xlfn.XLOOKUP(D817,products!$A$1:$A$49,products!$B$1:$B$49,,0)</f>
        <v>Rob</v>
      </c>
      <c r="J817" t="str">
        <f>_xlfn.XLOOKUP(D817,products!$A$1:$A$49,products!$C$1:$C$49,,0)</f>
        <v>M</v>
      </c>
      <c r="K817" s="7">
        <f>_xlfn.XLOOKUP(D817,products!$A$1:$A$49,products!$D$1:$D$49,,0)</f>
        <v>0.5</v>
      </c>
      <c r="L817" s="9">
        <f>_xlfn.XLOOKUP(D817,products!$A$1:$A$49,products!$E$1:$E$49,,0)</f>
        <v>5.97</v>
      </c>
      <c r="M817" s="9">
        <f t="shared" si="12"/>
        <v>35.82</v>
      </c>
      <c r="N817" s="3" t="str" cm="1">
        <f t="array" ref="N817">_xlfn.SWITCH(I817,
"Rob","Robusta",
"Exc","Excelsa",
"Ara","Arabica",
"Lib","Liberica",
"")</f>
        <v>Robusta</v>
      </c>
      <c r="O817" t="str" cm="1">
        <f t="array" ref="O817">_xlfn.SWITCH(J817,
"M","Medium",
"L","Light",
"D","Dark",
"")</f>
        <v>Medium</v>
      </c>
      <c r="P817" t="str">
        <f>_xlfn.XLOOKUP(Orders[[#This Row],[Customer ID]],customers!$A$1:$A$1001,customers!$I$1:$I$1001,,0)</f>
        <v>No</v>
      </c>
    </row>
    <row r="818" spans="1:16" x14ac:dyDescent="0.35">
      <c r="A818" s="2" t="s">
        <v>5102</v>
      </c>
      <c r="B818" s="4">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_xlfn.XLOOKUP(D818,products!$A$1:$A$49,products!$B$1:$B$49,,0)</f>
        <v>Lib</v>
      </c>
      <c r="J818" t="str">
        <f>_xlfn.XLOOKUP(D818,products!$A$1:$A$49,products!$C$1:$C$49,,0)</f>
        <v>L</v>
      </c>
      <c r="K818" s="7">
        <f>_xlfn.XLOOKUP(D818,products!$A$1:$A$49,products!$D$1:$D$49,,0)</f>
        <v>0.5</v>
      </c>
      <c r="L818" s="9">
        <f>_xlfn.XLOOKUP(D818,products!$A$1:$A$49,products!$E$1:$E$49,,0)</f>
        <v>9.51</v>
      </c>
      <c r="M818" s="9">
        <f t="shared" si="12"/>
        <v>38.04</v>
      </c>
      <c r="N818" s="3" t="str" cm="1">
        <f t="array" ref="N818">_xlfn.SWITCH(I818,
"Rob","Robusta",
"Exc","Excelsa",
"Ara","Arabica",
"Lib","Liberica",
"")</f>
        <v>Liberica</v>
      </c>
      <c r="O818" t="str" cm="1">
        <f t="array" ref="O818">_xlfn.SWITCH(J818,
"M","Medium",
"L","Light",
"D","Dark",
"")</f>
        <v>Light</v>
      </c>
      <c r="P818" t="str">
        <f>_xlfn.XLOOKUP(Orders[[#This Row],[Customer ID]],customers!$A$1:$A$1001,customers!$I$1:$I$1001,,0)</f>
        <v>No</v>
      </c>
    </row>
    <row r="819" spans="1:16" x14ac:dyDescent="0.35">
      <c r="A819" s="2" t="s">
        <v>5107</v>
      </c>
      <c r="B819" s="4">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_xlfn.XLOOKUP(D819,products!$A$1:$A$49,products!$B$1:$B$49,,0)</f>
        <v>Lib</v>
      </c>
      <c r="J819" t="str">
        <f>_xlfn.XLOOKUP(D819,products!$A$1:$A$49,products!$C$1:$C$49,,0)</f>
        <v>D</v>
      </c>
      <c r="K819" s="7">
        <f>_xlfn.XLOOKUP(D819,products!$A$1:$A$49,products!$D$1:$D$49,,0)</f>
        <v>0.5</v>
      </c>
      <c r="L819" s="9">
        <f>_xlfn.XLOOKUP(D819,products!$A$1:$A$49,products!$E$1:$E$49,,0)</f>
        <v>7.77</v>
      </c>
      <c r="M819" s="9">
        <f t="shared" si="12"/>
        <v>15.54</v>
      </c>
      <c r="N819" s="3" t="str" cm="1">
        <f t="array" ref="N819">_xlfn.SWITCH(I819,
"Rob","Robusta",
"Exc","Excelsa",
"Ara","Arabica",
"Lib","Liberica",
"")</f>
        <v>Liberica</v>
      </c>
      <c r="O819" t="str" cm="1">
        <f t="array" ref="O819">_xlfn.SWITCH(J819,
"M","Medium",
"L","Light",
"D","Dark",
"")</f>
        <v>Dark</v>
      </c>
      <c r="P819" t="str">
        <f>_xlfn.XLOOKUP(Orders[[#This Row],[Customer ID]],customers!$A$1:$A$1001,customers!$I$1:$I$1001,,0)</f>
        <v>No</v>
      </c>
    </row>
    <row r="820" spans="1:16" x14ac:dyDescent="0.35">
      <c r="A820" s="2" t="s">
        <v>5112</v>
      </c>
      <c r="B820" s="4">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_xlfn.XLOOKUP(D820,products!$A$1:$A$49,products!$B$1:$B$49,,0)</f>
        <v>Lib</v>
      </c>
      <c r="J820" t="str">
        <f>_xlfn.XLOOKUP(D820,products!$A$1:$A$49,products!$C$1:$C$49,,0)</f>
        <v>L</v>
      </c>
      <c r="K820" s="7">
        <f>_xlfn.XLOOKUP(D820,products!$A$1:$A$49,products!$D$1:$D$49,,0)</f>
        <v>1</v>
      </c>
      <c r="L820" s="9">
        <f>_xlfn.XLOOKUP(D820,products!$A$1:$A$49,products!$E$1:$E$49,,0)</f>
        <v>15.85</v>
      </c>
      <c r="M820" s="9">
        <f t="shared" si="12"/>
        <v>79.25</v>
      </c>
      <c r="N820" s="3" t="str" cm="1">
        <f t="array" ref="N820">_xlfn.SWITCH(I820,
"Rob","Robusta",
"Exc","Excelsa",
"Ara","Arabica",
"Lib","Liberica",
"")</f>
        <v>Liberica</v>
      </c>
      <c r="O820" t="str" cm="1">
        <f t="array" ref="O820">_xlfn.SWITCH(J820,
"M","Medium",
"L","Light",
"D","Dark",
"")</f>
        <v>Light</v>
      </c>
      <c r="P820" t="str">
        <f>_xlfn.XLOOKUP(Orders[[#This Row],[Customer ID]],customers!$A$1:$A$1001,customers!$I$1:$I$1001,,0)</f>
        <v>No</v>
      </c>
    </row>
    <row r="821" spans="1:16" x14ac:dyDescent="0.35">
      <c r="A821" s="2" t="s">
        <v>5117</v>
      </c>
      <c r="B821" s="4">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_xlfn.XLOOKUP(D821,products!$A$1:$A$49,products!$B$1:$B$49,,0)</f>
        <v>Lib</v>
      </c>
      <c r="J821" t="str">
        <f>_xlfn.XLOOKUP(D821,products!$A$1:$A$49,products!$C$1:$C$49,,0)</f>
        <v>L</v>
      </c>
      <c r="K821" s="7">
        <f>_xlfn.XLOOKUP(D821,products!$A$1:$A$49,products!$D$1:$D$49,,0)</f>
        <v>0.2</v>
      </c>
      <c r="L821" s="9">
        <f>_xlfn.XLOOKUP(D821,products!$A$1:$A$49,products!$E$1:$E$49,,0)</f>
        <v>4.7549999999999999</v>
      </c>
      <c r="M821" s="9">
        <f t="shared" si="12"/>
        <v>4.7549999999999999</v>
      </c>
      <c r="N821" s="3" t="str" cm="1">
        <f t="array" ref="N821">_xlfn.SWITCH(I821,
"Rob","Robusta",
"Exc","Excelsa",
"Ara","Arabica",
"Lib","Liberica",
"")</f>
        <v>Liberica</v>
      </c>
      <c r="O821" t="str" cm="1">
        <f t="array" ref="O821">_xlfn.SWITCH(J821,
"M","Medium",
"L","Light",
"D","Dark",
"")</f>
        <v>Light</v>
      </c>
      <c r="P821" t="str">
        <f>_xlfn.XLOOKUP(Orders[[#This Row],[Customer ID]],customers!$A$1:$A$1001,customers!$I$1:$I$1001,,0)</f>
        <v>Yes</v>
      </c>
    </row>
    <row r="822" spans="1:16" x14ac:dyDescent="0.35">
      <c r="A822" s="2" t="s">
        <v>5123</v>
      </c>
      <c r="B822" s="4">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_xlfn.XLOOKUP(D822,products!$A$1:$A$49,products!$B$1:$B$49,,0)</f>
        <v>Exc</v>
      </c>
      <c r="J822" t="str">
        <f>_xlfn.XLOOKUP(D822,products!$A$1:$A$49,products!$C$1:$C$49,,0)</f>
        <v>M</v>
      </c>
      <c r="K822" s="7">
        <f>_xlfn.XLOOKUP(D822,products!$A$1:$A$49,products!$D$1:$D$49,,0)</f>
        <v>1</v>
      </c>
      <c r="L822" s="9">
        <f>_xlfn.XLOOKUP(D822,products!$A$1:$A$49,products!$E$1:$E$49,,0)</f>
        <v>13.75</v>
      </c>
      <c r="M822" s="9">
        <f t="shared" si="12"/>
        <v>55</v>
      </c>
      <c r="N822" s="3" t="str" cm="1">
        <f t="array" ref="N822">_xlfn.SWITCH(I822,
"Rob","Robusta",
"Exc","Excelsa",
"Ara","Arabica",
"Lib","Liberica",
"")</f>
        <v>Excelsa</v>
      </c>
      <c r="O822" t="str" cm="1">
        <f t="array" ref="O822">_xlfn.SWITCH(J822,
"M","Medium",
"L","Light",
"D","Dark",
"")</f>
        <v>Medium</v>
      </c>
      <c r="P822" t="str">
        <f>_xlfn.XLOOKUP(Orders[[#This Row],[Customer ID]],customers!$A$1:$A$1001,customers!$I$1:$I$1001,,0)</f>
        <v>Yes</v>
      </c>
    </row>
    <row r="823" spans="1:16" x14ac:dyDescent="0.35">
      <c r="A823" s="2" t="s">
        <v>5129</v>
      </c>
      <c r="B823" s="4">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_xlfn.XLOOKUP(D823,products!$A$1:$A$49,products!$B$1:$B$49,,0)</f>
        <v>Rob</v>
      </c>
      <c r="J823" t="str">
        <f>_xlfn.XLOOKUP(D823,products!$A$1:$A$49,products!$C$1:$C$49,,0)</f>
        <v>D</v>
      </c>
      <c r="K823" s="7">
        <f>_xlfn.XLOOKUP(D823,products!$A$1:$A$49,products!$D$1:$D$49,,0)</f>
        <v>0.5</v>
      </c>
      <c r="L823" s="9">
        <f>_xlfn.XLOOKUP(D823,products!$A$1:$A$49,products!$E$1:$E$49,,0)</f>
        <v>5.3699999999999992</v>
      </c>
      <c r="M823" s="9">
        <f t="shared" si="12"/>
        <v>26.849999999999994</v>
      </c>
      <c r="N823" s="3" t="str" cm="1">
        <f t="array" ref="N823">_xlfn.SWITCH(I823,
"Rob","Robusta",
"Exc","Excelsa",
"Ara","Arabica",
"Lib","Liberica",
"")</f>
        <v>Robusta</v>
      </c>
      <c r="O823" t="str" cm="1">
        <f t="array" ref="O823">_xlfn.SWITCH(J823,
"M","Medium",
"L","Light",
"D","Dark",
"")</f>
        <v>Dark</v>
      </c>
      <c r="P823" t="str">
        <f>_xlfn.XLOOKUP(Orders[[#This Row],[Customer ID]],customers!$A$1:$A$1001,customers!$I$1:$I$1001,,0)</f>
        <v>No</v>
      </c>
    </row>
    <row r="824" spans="1:16" x14ac:dyDescent="0.35">
      <c r="A824" s="2" t="s">
        <v>5135</v>
      </c>
      <c r="B824" s="4">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_xlfn.XLOOKUP(D824,products!$A$1:$A$49,products!$B$1:$B$49,,0)</f>
        <v>Exc</v>
      </c>
      <c r="J824" t="str">
        <f>_xlfn.XLOOKUP(D824,products!$A$1:$A$49,products!$C$1:$C$49,,0)</f>
        <v>L</v>
      </c>
      <c r="K824" s="7">
        <f>_xlfn.XLOOKUP(D824,products!$A$1:$A$49,products!$D$1:$D$49,,0)</f>
        <v>2.5</v>
      </c>
      <c r="L824" s="9">
        <f>_xlfn.XLOOKUP(D824,products!$A$1:$A$49,products!$E$1:$E$49,,0)</f>
        <v>34.154999999999994</v>
      </c>
      <c r="M824" s="9">
        <f t="shared" si="12"/>
        <v>136.61999999999998</v>
      </c>
      <c r="N824" s="3" t="str" cm="1">
        <f t="array" ref="N824">_xlfn.SWITCH(I824,
"Rob","Robusta",
"Exc","Excelsa",
"Ara","Arabica",
"Lib","Liberica",
"")</f>
        <v>Excelsa</v>
      </c>
      <c r="O824" t="str" cm="1">
        <f t="array" ref="O824">_xlfn.SWITCH(J824,
"M","Medium",
"L","Light",
"D","Dark",
"")</f>
        <v>Light</v>
      </c>
      <c r="P824" t="str">
        <f>_xlfn.XLOOKUP(Orders[[#This Row],[Customer ID]],customers!$A$1:$A$1001,customers!$I$1:$I$1001,,0)</f>
        <v>No</v>
      </c>
    </row>
    <row r="825" spans="1:16" x14ac:dyDescent="0.35">
      <c r="A825" s="2" t="s">
        <v>5141</v>
      </c>
      <c r="B825" s="4">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_xlfn.XLOOKUP(D825,products!$A$1:$A$49,products!$B$1:$B$49,,0)</f>
        <v>Lib</v>
      </c>
      <c r="J825" t="str">
        <f>_xlfn.XLOOKUP(D825,products!$A$1:$A$49,products!$C$1:$C$49,,0)</f>
        <v>L</v>
      </c>
      <c r="K825" s="7">
        <f>_xlfn.XLOOKUP(D825,products!$A$1:$A$49,products!$D$1:$D$49,,0)</f>
        <v>1</v>
      </c>
      <c r="L825" s="9">
        <f>_xlfn.XLOOKUP(D825,products!$A$1:$A$49,products!$E$1:$E$49,,0)</f>
        <v>15.85</v>
      </c>
      <c r="M825" s="9">
        <f t="shared" si="12"/>
        <v>47.55</v>
      </c>
      <c r="N825" s="3" t="str" cm="1">
        <f t="array" ref="N825">_xlfn.SWITCH(I825,
"Rob","Robusta",
"Exc","Excelsa",
"Ara","Arabica",
"Lib","Liberica",
"")</f>
        <v>Liberica</v>
      </c>
      <c r="O825" t="str" cm="1">
        <f t="array" ref="O825">_xlfn.SWITCH(J825,
"M","Medium",
"L","Light",
"D","Dark",
"")</f>
        <v>Light</v>
      </c>
      <c r="P825" t="str">
        <f>_xlfn.XLOOKUP(Orders[[#This Row],[Customer ID]],customers!$A$1:$A$1001,customers!$I$1:$I$1001,,0)</f>
        <v>Yes</v>
      </c>
    </row>
    <row r="826" spans="1:16" x14ac:dyDescent="0.35">
      <c r="A826" s="2" t="s">
        <v>5147</v>
      </c>
      <c r="B826" s="4">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_xlfn.XLOOKUP(D826,products!$A$1:$A$49,products!$B$1:$B$49,,0)</f>
        <v>Ara</v>
      </c>
      <c r="J826" t="str">
        <f>_xlfn.XLOOKUP(D826,products!$A$1:$A$49,products!$C$1:$C$49,,0)</f>
        <v>M</v>
      </c>
      <c r="K826" s="7">
        <f>_xlfn.XLOOKUP(D826,products!$A$1:$A$49,products!$D$1:$D$49,,0)</f>
        <v>0.2</v>
      </c>
      <c r="L826" s="9">
        <f>_xlfn.XLOOKUP(D826,products!$A$1:$A$49,products!$E$1:$E$49,,0)</f>
        <v>3.375</v>
      </c>
      <c r="M826" s="9">
        <f t="shared" si="12"/>
        <v>16.875</v>
      </c>
      <c r="N826" s="3" t="str" cm="1">
        <f t="array" ref="N826">_xlfn.SWITCH(I826,
"Rob","Robusta",
"Exc","Excelsa",
"Ara","Arabica",
"Lib","Liberica",
"")</f>
        <v>Arabica</v>
      </c>
      <c r="O826" t="str" cm="1">
        <f t="array" ref="O826">_xlfn.SWITCH(J826,
"M","Medium",
"L","Light",
"D","Dark",
"")</f>
        <v>Medium</v>
      </c>
      <c r="P826" t="str">
        <f>_xlfn.XLOOKUP(Orders[[#This Row],[Customer ID]],customers!$A$1:$A$1001,customers!$I$1:$I$1001,,0)</f>
        <v>Yes</v>
      </c>
    </row>
    <row r="827" spans="1:16" x14ac:dyDescent="0.35">
      <c r="A827" s="2" t="s">
        <v>5152</v>
      </c>
      <c r="B827" s="4">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_xlfn.XLOOKUP(D827,products!$A$1:$A$49,products!$B$1:$B$49,,0)</f>
        <v>Ara</v>
      </c>
      <c r="J827" t="str">
        <f>_xlfn.XLOOKUP(D827,products!$A$1:$A$49,products!$C$1:$C$49,,0)</f>
        <v>D</v>
      </c>
      <c r="K827" s="7">
        <f>_xlfn.XLOOKUP(D827,products!$A$1:$A$49,products!$D$1:$D$49,,0)</f>
        <v>1</v>
      </c>
      <c r="L827" s="9">
        <f>_xlfn.XLOOKUP(D827,products!$A$1:$A$49,products!$E$1:$E$49,,0)</f>
        <v>9.9499999999999993</v>
      </c>
      <c r="M827" s="9">
        <f t="shared" si="12"/>
        <v>29.849999999999998</v>
      </c>
      <c r="N827" s="3" t="str" cm="1">
        <f t="array" ref="N827">_xlfn.SWITCH(I827,
"Rob","Robusta",
"Exc","Excelsa",
"Ara","Arabica",
"Lib","Liberica",
"")</f>
        <v>Arabica</v>
      </c>
      <c r="O827" t="str" cm="1">
        <f t="array" ref="O827">_xlfn.SWITCH(J827,
"M","Medium",
"L","Light",
"D","Dark",
"")</f>
        <v>Dark</v>
      </c>
      <c r="P827" t="str">
        <f>_xlfn.XLOOKUP(Orders[[#This Row],[Customer ID]],customers!$A$1:$A$1001,customers!$I$1:$I$1001,,0)</f>
        <v>Yes</v>
      </c>
    </row>
    <row r="828" spans="1:16" x14ac:dyDescent="0.35">
      <c r="A828" s="2" t="s">
        <v>5158</v>
      </c>
      <c r="B828" s="4">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_xlfn.XLOOKUP(D828,products!$A$1:$A$49,products!$B$1:$B$49,,0)</f>
        <v>Exc</v>
      </c>
      <c r="J828" t="str">
        <f>_xlfn.XLOOKUP(D828,products!$A$1:$A$49,products!$C$1:$C$49,,0)</f>
        <v>M</v>
      </c>
      <c r="K828" s="7">
        <f>_xlfn.XLOOKUP(D828,products!$A$1:$A$49,products!$D$1:$D$49,,0)</f>
        <v>0.5</v>
      </c>
      <c r="L828" s="9">
        <f>_xlfn.XLOOKUP(D828,products!$A$1:$A$49,products!$E$1:$E$49,,0)</f>
        <v>8.25</v>
      </c>
      <c r="M828" s="9">
        <f t="shared" si="12"/>
        <v>41.25</v>
      </c>
      <c r="N828" s="3" t="str" cm="1">
        <f t="array" ref="N828">_xlfn.SWITCH(I828,
"Rob","Robusta",
"Exc","Excelsa",
"Ara","Arabica",
"Lib","Liberica",
"")</f>
        <v>Excelsa</v>
      </c>
      <c r="O828" t="str" cm="1">
        <f t="array" ref="O828">_xlfn.SWITCH(J828,
"M","Medium",
"L","Light",
"D","Dark",
"")</f>
        <v>Medium</v>
      </c>
      <c r="P828" t="str">
        <f>_xlfn.XLOOKUP(Orders[[#This Row],[Customer ID]],customers!$A$1:$A$1001,customers!$I$1:$I$1001,,0)</f>
        <v>Yes</v>
      </c>
    </row>
    <row r="829" spans="1:16" x14ac:dyDescent="0.35">
      <c r="A829" s="2" t="s">
        <v>5164</v>
      </c>
      <c r="B829" s="4">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_xlfn.XLOOKUP(D829,products!$A$1:$A$49,products!$B$1:$B$49,,0)</f>
        <v>Exc</v>
      </c>
      <c r="J829" t="str">
        <f>_xlfn.XLOOKUP(D829,products!$A$1:$A$49,products!$C$1:$C$49,,0)</f>
        <v>M</v>
      </c>
      <c r="K829" s="7">
        <f>_xlfn.XLOOKUP(D829,products!$A$1:$A$49,products!$D$1:$D$49,,0)</f>
        <v>0.2</v>
      </c>
      <c r="L829" s="9">
        <f>_xlfn.XLOOKUP(D829,products!$A$1:$A$49,products!$E$1:$E$49,,0)</f>
        <v>4.125</v>
      </c>
      <c r="M829" s="9">
        <f t="shared" si="12"/>
        <v>20.625</v>
      </c>
      <c r="N829" s="3" t="str" cm="1">
        <f t="array" ref="N829">_xlfn.SWITCH(I829,
"Rob","Robusta",
"Exc","Excelsa",
"Ara","Arabica",
"Lib","Liberica",
"")</f>
        <v>Excelsa</v>
      </c>
      <c r="O829" t="str" cm="1">
        <f t="array" ref="O829">_xlfn.SWITCH(J829,
"M","Medium",
"L","Light",
"D","Dark",
"")</f>
        <v>Medium</v>
      </c>
      <c r="P829" t="str">
        <f>_xlfn.XLOOKUP(Orders[[#This Row],[Customer ID]],customers!$A$1:$A$1001,customers!$I$1:$I$1001,,0)</f>
        <v>No</v>
      </c>
    </row>
    <row r="830" spans="1:16" x14ac:dyDescent="0.35">
      <c r="A830" s="2" t="s">
        <v>5170</v>
      </c>
      <c r="B830" s="4">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_xlfn.XLOOKUP(D830,products!$A$1:$A$49,products!$B$1:$B$49,,0)</f>
        <v>Ara</v>
      </c>
      <c r="J830" t="str">
        <f>_xlfn.XLOOKUP(D830,products!$A$1:$A$49,products!$C$1:$C$49,,0)</f>
        <v>D</v>
      </c>
      <c r="K830" s="7">
        <f>_xlfn.XLOOKUP(D830,products!$A$1:$A$49,products!$D$1:$D$49,,0)</f>
        <v>2.5</v>
      </c>
      <c r="L830" s="9">
        <f>_xlfn.XLOOKUP(D830,products!$A$1:$A$49,products!$E$1:$E$49,,0)</f>
        <v>22.884999999999998</v>
      </c>
      <c r="M830" s="9">
        <f t="shared" si="12"/>
        <v>137.31</v>
      </c>
      <c r="N830" s="3" t="str" cm="1">
        <f t="array" ref="N830">_xlfn.SWITCH(I830,
"Rob","Robusta",
"Exc","Excelsa",
"Ara","Arabica",
"Lib","Liberica",
"")</f>
        <v>Arabica</v>
      </c>
      <c r="O830" t="str" cm="1">
        <f t="array" ref="O830">_xlfn.SWITCH(J830,
"M","Medium",
"L","Light",
"D","Dark",
"")</f>
        <v>Dark</v>
      </c>
      <c r="P830" t="str">
        <f>_xlfn.XLOOKUP(Orders[[#This Row],[Customer ID]],customers!$A$1:$A$1001,customers!$I$1:$I$1001,,0)</f>
        <v>Yes</v>
      </c>
    </row>
    <row r="831" spans="1:16" x14ac:dyDescent="0.35">
      <c r="A831" s="2" t="s">
        <v>5176</v>
      </c>
      <c r="B831" s="4">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_xlfn.XLOOKUP(D831,products!$A$1:$A$49,products!$B$1:$B$49,,0)</f>
        <v>Ara</v>
      </c>
      <c r="J831" t="str">
        <f>_xlfn.XLOOKUP(D831,products!$A$1:$A$49,products!$C$1:$C$49,,0)</f>
        <v>D</v>
      </c>
      <c r="K831" s="7">
        <f>_xlfn.XLOOKUP(D831,products!$A$1:$A$49,products!$D$1:$D$49,,0)</f>
        <v>0.2</v>
      </c>
      <c r="L831" s="9">
        <f>_xlfn.XLOOKUP(D831,products!$A$1:$A$49,products!$E$1:$E$49,,0)</f>
        <v>2.9849999999999999</v>
      </c>
      <c r="M831" s="9">
        <f t="shared" si="12"/>
        <v>2.9849999999999999</v>
      </c>
      <c r="N831" s="3" t="str" cm="1">
        <f t="array" ref="N831">_xlfn.SWITCH(I831,
"Rob","Robusta",
"Exc","Excelsa",
"Ara","Arabica",
"Lib","Liberica",
"")</f>
        <v>Arabica</v>
      </c>
      <c r="O831" t="str" cm="1">
        <f t="array" ref="O831">_xlfn.SWITCH(J831,
"M","Medium",
"L","Light",
"D","Dark",
"")</f>
        <v>Dark</v>
      </c>
      <c r="P831" t="str">
        <f>_xlfn.XLOOKUP(Orders[[#This Row],[Customer ID]],customers!$A$1:$A$1001,customers!$I$1:$I$1001,,0)</f>
        <v>No</v>
      </c>
    </row>
    <row r="832" spans="1:16" x14ac:dyDescent="0.35">
      <c r="A832" s="2" t="s">
        <v>5182</v>
      </c>
      <c r="B832" s="4">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_xlfn.XLOOKUP(D832,products!$A$1:$A$49,products!$B$1:$B$49,,0)</f>
        <v>Exc</v>
      </c>
      <c r="J832" t="str">
        <f>_xlfn.XLOOKUP(D832,products!$A$1:$A$49,products!$C$1:$C$49,,0)</f>
        <v>M</v>
      </c>
      <c r="K832" s="7">
        <f>_xlfn.XLOOKUP(D832,products!$A$1:$A$49,products!$D$1:$D$49,,0)</f>
        <v>1</v>
      </c>
      <c r="L832" s="9">
        <f>_xlfn.XLOOKUP(D832,products!$A$1:$A$49,products!$E$1:$E$49,,0)</f>
        <v>13.75</v>
      </c>
      <c r="M832" s="9">
        <f t="shared" si="12"/>
        <v>27.5</v>
      </c>
      <c r="N832" s="3" t="str" cm="1">
        <f t="array" ref="N832">_xlfn.SWITCH(I832,
"Rob","Robusta",
"Exc","Excelsa",
"Ara","Arabica",
"Lib","Liberica",
"")</f>
        <v>Excelsa</v>
      </c>
      <c r="O832" t="str" cm="1">
        <f t="array" ref="O832">_xlfn.SWITCH(J832,
"M","Medium",
"L","Light",
"D","Dark",
"")</f>
        <v>Medium</v>
      </c>
      <c r="P832" t="str">
        <f>_xlfn.XLOOKUP(Orders[[#This Row],[Customer ID]],customers!$A$1:$A$1001,customers!$I$1:$I$1001,,0)</f>
        <v>No</v>
      </c>
    </row>
    <row r="833" spans="1:16" x14ac:dyDescent="0.35">
      <c r="A833" s="2" t="s">
        <v>5182</v>
      </c>
      <c r="B833" s="4">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_xlfn.XLOOKUP(D833,products!$A$1:$A$49,products!$B$1:$B$49,,0)</f>
        <v>Ara</v>
      </c>
      <c r="J833" t="str">
        <f>_xlfn.XLOOKUP(D833,products!$A$1:$A$49,products!$C$1:$C$49,,0)</f>
        <v>D</v>
      </c>
      <c r="K833" s="7">
        <f>_xlfn.XLOOKUP(D833,products!$A$1:$A$49,products!$D$1:$D$49,,0)</f>
        <v>0.2</v>
      </c>
      <c r="L833" s="9">
        <f>_xlfn.XLOOKUP(D833,products!$A$1:$A$49,products!$E$1:$E$49,,0)</f>
        <v>2.9849999999999999</v>
      </c>
      <c r="M833" s="9">
        <f t="shared" si="12"/>
        <v>5.97</v>
      </c>
      <c r="N833" s="3" t="str" cm="1">
        <f t="array" ref="N833">_xlfn.SWITCH(I833,
"Rob","Robusta",
"Exc","Excelsa",
"Ara","Arabica",
"Lib","Liberica",
"")</f>
        <v>Arabica</v>
      </c>
      <c r="O833" t="str" cm="1">
        <f t="array" ref="O833">_xlfn.SWITCH(J833,
"M","Medium",
"L","Light",
"D","Dark",
"")</f>
        <v>Dark</v>
      </c>
      <c r="P833" t="str">
        <f>_xlfn.XLOOKUP(Orders[[#This Row],[Customer ID]],customers!$A$1:$A$1001,customers!$I$1:$I$1001,,0)</f>
        <v>No</v>
      </c>
    </row>
    <row r="834" spans="1:16" x14ac:dyDescent="0.35">
      <c r="A834" s="2" t="s">
        <v>5193</v>
      </c>
      <c r="B834" s="4">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_xlfn.XLOOKUP(D834,products!$A$1:$A$49,products!$B$1:$B$49,,0)</f>
        <v>Rob</v>
      </c>
      <c r="J834" t="str">
        <f>_xlfn.XLOOKUP(D834,products!$A$1:$A$49,products!$C$1:$C$49,,0)</f>
        <v>M</v>
      </c>
      <c r="K834" s="7">
        <f>_xlfn.XLOOKUP(D834,products!$A$1:$A$49,products!$D$1:$D$49,,0)</f>
        <v>1</v>
      </c>
      <c r="L834" s="9">
        <f>_xlfn.XLOOKUP(D834,products!$A$1:$A$49,products!$E$1:$E$49,,0)</f>
        <v>9.9499999999999993</v>
      </c>
      <c r="M834" s="9">
        <f t="shared" si="12"/>
        <v>59.699999999999996</v>
      </c>
      <c r="N834" s="3" t="str" cm="1">
        <f t="array" ref="N834">_xlfn.SWITCH(I834,
"Rob","Robusta",
"Exc","Excelsa",
"Ara","Arabica",
"Lib","Liberica",
"")</f>
        <v>Robusta</v>
      </c>
      <c r="O834" t="str" cm="1">
        <f t="array" ref="O834">_xlfn.SWITCH(J834,
"M","Medium",
"L","Light",
"D","Dark",
"")</f>
        <v>Medium</v>
      </c>
      <c r="P834" t="str">
        <f>_xlfn.XLOOKUP(Orders[[#This Row],[Customer ID]],customers!$A$1:$A$1001,customers!$I$1:$I$1001,,0)</f>
        <v>No</v>
      </c>
    </row>
    <row r="835" spans="1:16" x14ac:dyDescent="0.35">
      <c r="A835" s="2" t="s">
        <v>5199</v>
      </c>
      <c r="B835" s="4">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_xlfn.XLOOKUP(D835,products!$A$1:$A$49,products!$B$1:$B$49,,0)</f>
        <v>Rob</v>
      </c>
      <c r="J835" t="str">
        <f>_xlfn.XLOOKUP(D835,products!$A$1:$A$49,products!$C$1:$C$49,,0)</f>
        <v>D</v>
      </c>
      <c r="K835" s="7">
        <f>_xlfn.XLOOKUP(D835,products!$A$1:$A$49,products!$D$1:$D$49,,0)</f>
        <v>2.5</v>
      </c>
      <c r="L835" s="9">
        <f>_xlfn.XLOOKUP(D835,products!$A$1:$A$49,products!$E$1:$E$49,,0)</f>
        <v>20.584999999999997</v>
      </c>
      <c r="M835" s="9">
        <f t="shared" ref="M835:M898" si="13">L835*E835</f>
        <v>82.339999999999989</v>
      </c>
      <c r="N835" s="3" t="str" cm="1">
        <f t="array" ref="N835">_xlfn.SWITCH(I835,
"Rob","Robusta",
"Exc","Excelsa",
"Ara","Arabica",
"Lib","Liberica",
"")</f>
        <v>Robusta</v>
      </c>
      <c r="O835" t="str" cm="1">
        <f t="array" ref="O835">_xlfn.SWITCH(J835,
"M","Medium",
"L","Light",
"D","Dark",
"")</f>
        <v>Dark</v>
      </c>
      <c r="P835" t="str">
        <f>_xlfn.XLOOKUP(Orders[[#This Row],[Customer ID]],customers!$A$1:$A$1001,customers!$I$1:$I$1001,,0)</f>
        <v>Yes</v>
      </c>
    </row>
    <row r="836" spans="1:16" x14ac:dyDescent="0.35">
      <c r="A836" s="2" t="s">
        <v>5205</v>
      </c>
      <c r="B836" s="4">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_xlfn.XLOOKUP(D836,products!$A$1:$A$49,products!$B$1:$B$49,,0)</f>
        <v>Ara</v>
      </c>
      <c r="J836" t="str">
        <f>_xlfn.XLOOKUP(D836,products!$A$1:$A$49,products!$C$1:$C$49,,0)</f>
        <v>D</v>
      </c>
      <c r="K836" s="7">
        <f>_xlfn.XLOOKUP(D836,products!$A$1:$A$49,products!$D$1:$D$49,,0)</f>
        <v>2.5</v>
      </c>
      <c r="L836" s="9">
        <f>_xlfn.XLOOKUP(D836,products!$A$1:$A$49,products!$E$1:$E$49,,0)</f>
        <v>22.884999999999998</v>
      </c>
      <c r="M836" s="9">
        <f t="shared" si="13"/>
        <v>22.884999999999998</v>
      </c>
      <c r="N836" s="3" t="str" cm="1">
        <f t="array" ref="N836">_xlfn.SWITCH(I836,
"Rob","Robusta",
"Exc","Excelsa",
"Ara","Arabica",
"Lib","Liberica",
"")</f>
        <v>Arabica</v>
      </c>
      <c r="O836" t="str" cm="1">
        <f t="array" ref="O836">_xlfn.SWITCH(J836,
"M","Medium",
"L","Light",
"D","Dark",
"")</f>
        <v>Dark</v>
      </c>
      <c r="P836" t="str">
        <f>_xlfn.XLOOKUP(Orders[[#This Row],[Customer ID]],customers!$A$1:$A$1001,customers!$I$1:$I$1001,,0)</f>
        <v>No</v>
      </c>
    </row>
    <row r="837" spans="1:16" x14ac:dyDescent="0.35">
      <c r="A837" s="2" t="s">
        <v>5211</v>
      </c>
      <c r="B837" s="4">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_xlfn.XLOOKUP(D837,products!$A$1:$A$49,products!$B$1:$B$49,,0)</f>
        <v>Exc</v>
      </c>
      <c r="J837" t="str">
        <f>_xlfn.XLOOKUP(D837,products!$A$1:$A$49,products!$C$1:$C$49,,0)</f>
        <v>L</v>
      </c>
      <c r="K837" s="7">
        <f>_xlfn.XLOOKUP(D837,products!$A$1:$A$49,products!$D$1:$D$49,,0)</f>
        <v>0.5</v>
      </c>
      <c r="L837" s="9">
        <f>_xlfn.XLOOKUP(D837,products!$A$1:$A$49,products!$E$1:$E$49,,0)</f>
        <v>8.91</v>
      </c>
      <c r="M837" s="9">
        <f t="shared" si="13"/>
        <v>8.91</v>
      </c>
      <c r="N837" s="3" t="str" cm="1">
        <f t="array" ref="N837">_xlfn.SWITCH(I837,
"Rob","Robusta",
"Exc","Excelsa",
"Ara","Arabica",
"Lib","Liberica",
"")</f>
        <v>Excelsa</v>
      </c>
      <c r="O837" t="str" cm="1">
        <f t="array" ref="O837">_xlfn.SWITCH(J837,
"M","Medium",
"L","Light",
"D","Dark",
"")</f>
        <v>Light</v>
      </c>
      <c r="P837" t="str">
        <f>_xlfn.XLOOKUP(Orders[[#This Row],[Customer ID]],customers!$A$1:$A$1001,customers!$I$1:$I$1001,,0)</f>
        <v>Yes</v>
      </c>
    </row>
    <row r="838" spans="1:16" x14ac:dyDescent="0.35">
      <c r="A838" s="2" t="s">
        <v>5216</v>
      </c>
      <c r="B838" s="4">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_xlfn.XLOOKUP(D838,products!$A$1:$A$49,products!$B$1:$B$49,,0)</f>
        <v>Ara</v>
      </c>
      <c r="J838" t="str">
        <f>_xlfn.XLOOKUP(D838,products!$A$1:$A$49,products!$C$1:$C$49,,0)</f>
        <v>D</v>
      </c>
      <c r="K838" s="7">
        <f>_xlfn.XLOOKUP(D838,products!$A$1:$A$49,products!$D$1:$D$49,,0)</f>
        <v>0.2</v>
      </c>
      <c r="L838" s="9">
        <f>_xlfn.XLOOKUP(D838,products!$A$1:$A$49,products!$E$1:$E$49,,0)</f>
        <v>2.9849999999999999</v>
      </c>
      <c r="M838" s="9">
        <f t="shared" si="13"/>
        <v>11.94</v>
      </c>
      <c r="N838" s="3" t="str" cm="1">
        <f t="array" ref="N838">_xlfn.SWITCH(I838,
"Rob","Robusta",
"Exc","Excelsa",
"Ara","Arabica",
"Lib","Liberica",
"")</f>
        <v>Arabica</v>
      </c>
      <c r="O838" t="str" cm="1">
        <f t="array" ref="O838">_xlfn.SWITCH(J838,
"M","Medium",
"L","Light",
"D","Dark",
"")</f>
        <v>Dark</v>
      </c>
      <c r="P838" t="str">
        <f>_xlfn.XLOOKUP(Orders[[#This Row],[Customer ID]],customers!$A$1:$A$1001,customers!$I$1:$I$1001,,0)</f>
        <v>No</v>
      </c>
    </row>
    <row r="839" spans="1:16" x14ac:dyDescent="0.35">
      <c r="A839" s="2" t="s">
        <v>5222</v>
      </c>
      <c r="B839" s="4">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_xlfn.XLOOKUP(D839,products!$A$1:$A$49,products!$B$1:$B$49,,0)</f>
        <v>Lib</v>
      </c>
      <c r="J839" t="str">
        <f>_xlfn.XLOOKUP(D839,products!$A$1:$A$49,products!$C$1:$C$49,,0)</f>
        <v>M</v>
      </c>
      <c r="K839" s="7">
        <f>_xlfn.XLOOKUP(D839,products!$A$1:$A$49,products!$D$1:$D$49,,0)</f>
        <v>2.5</v>
      </c>
      <c r="L839" s="9">
        <f>_xlfn.XLOOKUP(D839,products!$A$1:$A$49,products!$E$1:$E$49,,0)</f>
        <v>33.464999999999996</v>
      </c>
      <c r="M839" s="9">
        <f t="shared" si="13"/>
        <v>100.39499999999998</v>
      </c>
      <c r="N839" s="3" t="str" cm="1">
        <f t="array" ref="N839">_xlfn.SWITCH(I839,
"Rob","Robusta",
"Exc","Excelsa",
"Ara","Arabica",
"Lib","Liberica",
"")</f>
        <v>Liberica</v>
      </c>
      <c r="O839" t="str" cm="1">
        <f t="array" ref="O839">_xlfn.SWITCH(J839,
"M","Medium",
"L","Light",
"D","Dark",
"")</f>
        <v>Medium</v>
      </c>
      <c r="P839" t="str">
        <f>_xlfn.XLOOKUP(Orders[[#This Row],[Customer ID]],customers!$A$1:$A$1001,customers!$I$1:$I$1001,,0)</f>
        <v>No</v>
      </c>
    </row>
    <row r="840" spans="1:16" x14ac:dyDescent="0.35">
      <c r="A840" s="2" t="s">
        <v>5228</v>
      </c>
      <c r="B840" s="4">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_xlfn.XLOOKUP(D840,products!$A$1:$A$49,products!$B$1:$B$49,,0)</f>
        <v>Ara</v>
      </c>
      <c r="J840" t="str">
        <f>_xlfn.XLOOKUP(D840,products!$A$1:$A$49,products!$C$1:$C$49,,0)</f>
        <v>D</v>
      </c>
      <c r="K840" s="7">
        <f>_xlfn.XLOOKUP(D840,products!$A$1:$A$49,products!$D$1:$D$49,,0)</f>
        <v>2.5</v>
      </c>
      <c r="L840" s="9">
        <f>_xlfn.XLOOKUP(D840,products!$A$1:$A$49,products!$E$1:$E$49,,0)</f>
        <v>22.884999999999998</v>
      </c>
      <c r="M840" s="9">
        <f t="shared" si="13"/>
        <v>114.42499999999998</v>
      </c>
      <c r="N840" s="3" t="str" cm="1">
        <f t="array" ref="N840">_xlfn.SWITCH(I840,
"Rob","Robusta",
"Exc","Excelsa",
"Ara","Arabica",
"Lib","Liberica",
"")</f>
        <v>Arabica</v>
      </c>
      <c r="O840" t="str" cm="1">
        <f t="array" ref="O840">_xlfn.SWITCH(J840,
"M","Medium",
"L","Light",
"D","Dark",
"")</f>
        <v>Dark</v>
      </c>
      <c r="P840" t="str">
        <f>_xlfn.XLOOKUP(Orders[[#This Row],[Customer ID]],customers!$A$1:$A$1001,customers!$I$1:$I$1001,,0)</f>
        <v>No</v>
      </c>
    </row>
    <row r="841" spans="1:16" x14ac:dyDescent="0.35">
      <c r="A841" s="2" t="s">
        <v>5234</v>
      </c>
      <c r="B841" s="4">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_xlfn.XLOOKUP(D841,products!$A$1:$A$49,products!$B$1:$B$49,,0)</f>
        <v>Exc</v>
      </c>
      <c r="J841" t="str">
        <f>_xlfn.XLOOKUP(D841,products!$A$1:$A$49,products!$C$1:$C$49,,0)</f>
        <v>M</v>
      </c>
      <c r="K841" s="7">
        <f>_xlfn.XLOOKUP(D841,products!$A$1:$A$49,products!$D$1:$D$49,,0)</f>
        <v>0.5</v>
      </c>
      <c r="L841" s="9">
        <f>_xlfn.XLOOKUP(D841,products!$A$1:$A$49,products!$E$1:$E$49,,0)</f>
        <v>8.25</v>
      </c>
      <c r="M841" s="9">
        <f t="shared" si="13"/>
        <v>41.25</v>
      </c>
      <c r="N841" s="3" t="str" cm="1">
        <f t="array" ref="N841">_xlfn.SWITCH(I841,
"Rob","Robusta",
"Exc","Excelsa",
"Ara","Arabica",
"Lib","Liberica",
"")</f>
        <v>Excelsa</v>
      </c>
      <c r="O841" t="str" cm="1">
        <f t="array" ref="O841">_xlfn.SWITCH(J841,
"M","Medium",
"L","Light",
"D","Dark",
"")</f>
        <v>Medium</v>
      </c>
      <c r="P841" t="str">
        <f>_xlfn.XLOOKUP(Orders[[#This Row],[Customer ID]],customers!$A$1:$A$1001,customers!$I$1:$I$1001,,0)</f>
        <v>No</v>
      </c>
    </row>
    <row r="842" spans="1:16" x14ac:dyDescent="0.35">
      <c r="A842" s="2" t="s">
        <v>5240</v>
      </c>
      <c r="B842" s="4">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_xlfn.XLOOKUP(D842,products!$A$1:$A$49,products!$B$1:$B$49,,0)</f>
        <v>Rob</v>
      </c>
      <c r="J842" t="str">
        <f>_xlfn.XLOOKUP(D842,products!$A$1:$A$49,products!$C$1:$C$49,,0)</f>
        <v>L</v>
      </c>
      <c r="K842" s="7">
        <f>_xlfn.XLOOKUP(D842,products!$A$1:$A$49,products!$D$1:$D$49,,0)</f>
        <v>0.5</v>
      </c>
      <c r="L842" s="9">
        <f>_xlfn.XLOOKUP(D842,products!$A$1:$A$49,products!$E$1:$E$49,,0)</f>
        <v>7.169999999999999</v>
      </c>
      <c r="M842" s="9">
        <f t="shared" si="13"/>
        <v>28.679999999999996</v>
      </c>
      <c r="N842" s="3" t="str" cm="1">
        <f t="array" ref="N842">_xlfn.SWITCH(I842,
"Rob","Robusta",
"Exc","Excelsa",
"Ara","Arabica",
"Lib","Liberica",
"")</f>
        <v>Robusta</v>
      </c>
      <c r="O842" t="str" cm="1">
        <f t="array" ref="O842">_xlfn.SWITCH(J842,
"M","Medium",
"L","Light",
"D","Dark",
"")</f>
        <v>Light</v>
      </c>
      <c r="P842" t="str">
        <f>_xlfn.XLOOKUP(Orders[[#This Row],[Customer ID]],customers!$A$1:$A$1001,customers!$I$1:$I$1001,,0)</f>
        <v>Yes</v>
      </c>
    </row>
    <row r="843" spans="1:16" x14ac:dyDescent="0.35">
      <c r="A843" s="2" t="s">
        <v>5246</v>
      </c>
      <c r="B843" s="4">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_xlfn.XLOOKUP(D843,products!$A$1:$A$49,products!$B$1:$B$49,,0)</f>
        <v>Lib</v>
      </c>
      <c r="J843" t="str">
        <f>_xlfn.XLOOKUP(D843,products!$A$1:$A$49,products!$C$1:$C$49,,0)</f>
        <v>M</v>
      </c>
      <c r="K843" s="7">
        <f>_xlfn.XLOOKUP(D843,products!$A$1:$A$49,products!$D$1:$D$49,,0)</f>
        <v>0.2</v>
      </c>
      <c r="L843" s="9">
        <f>_xlfn.XLOOKUP(D843,products!$A$1:$A$49,products!$E$1:$E$49,,0)</f>
        <v>4.3650000000000002</v>
      </c>
      <c r="M843" s="9">
        <f t="shared" si="13"/>
        <v>4.3650000000000002</v>
      </c>
      <c r="N843" s="3" t="str" cm="1">
        <f t="array" ref="N843">_xlfn.SWITCH(I843,
"Rob","Robusta",
"Exc","Excelsa",
"Ara","Arabica",
"Lib","Liberica",
"")</f>
        <v>Liberica</v>
      </c>
      <c r="O843" t="str" cm="1">
        <f t="array" ref="O843">_xlfn.SWITCH(J843,
"M","Medium",
"L","Light",
"D","Dark",
"")</f>
        <v>Medium</v>
      </c>
      <c r="P843" t="str">
        <f>_xlfn.XLOOKUP(Orders[[#This Row],[Customer ID]],customers!$A$1:$A$1001,customers!$I$1:$I$1001,,0)</f>
        <v>No</v>
      </c>
    </row>
    <row r="844" spans="1:16" x14ac:dyDescent="0.35">
      <c r="A844" s="2" t="s">
        <v>5251</v>
      </c>
      <c r="B844" s="4">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_xlfn.XLOOKUP(D844,products!$A$1:$A$49,products!$B$1:$B$49,,0)</f>
        <v>Exc</v>
      </c>
      <c r="J844" t="str">
        <f>_xlfn.XLOOKUP(D844,products!$A$1:$A$49,products!$C$1:$C$49,,0)</f>
        <v>M</v>
      </c>
      <c r="K844" s="7">
        <f>_xlfn.XLOOKUP(D844,products!$A$1:$A$49,products!$D$1:$D$49,,0)</f>
        <v>0.2</v>
      </c>
      <c r="L844" s="9">
        <f>_xlfn.XLOOKUP(D844,products!$A$1:$A$49,products!$E$1:$E$49,,0)</f>
        <v>4.125</v>
      </c>
      <c r="M844" s="9">
        <f t="shared" si="13"/>
        <v>8.25</v>
      </c>
      <c r="N844" s="3" t="str" cm="1">
        <f t="array" ref="N844">_xlfn.SWITCH(I844,
"Rob","Robusta",
"Exc","Excelsa",
"Ara","Arabica",
"Lib","Liberica",
"")</f>
        <v>Excelsa</v>
      </c>
      <c r="O844" t="str" cm="1">
        <f t="array" ref="O844">_xlfn.SWITCH(J844,
"M","Medium",
"L","Light",
"D","Dark",
"")</f>
        <v>Medium</v>
      </c>
      <c r="P844" t="str">
        <f>_xlfn.XLOOKUP(Orders[[#This Row],[Customer ID]],customers!$A$1:$A$1001,customers!$I$1:$I$1001,,0)</f>
        <v>Yes</v>
      </c>
    </row>
    <row r="845" spans="1:16" x14ac:dyDescent="0.35">
      <c r="A845" s="2" t="s">
        <v>5256</v>
      </c>
      <c r="B845" s="4">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_xlfn.XLOOKUP(D845,products!$A$1:$A$49,products!$B$1:$B$49,,0)</f>
        <v>Exc</v>
      </c>
      <c r="J845" t="str">
        <f>_xlfn.XLOOKUP(D845,products!$A$1:$A$49,products!$C$1:$C$49,,0)</f>
        <v>M</v>
      </c>
      <c r="K845" s="7">
        <f>_xlfn.XLOOKUP(D845,products!$A$1:$A$49,products!$D$1:$D$49,,0)</f>
        <v>0.2</v>
      </c>
      <c r="L845" s="9">
        <f>_xlfn.XLOOKUP(D845,products!$A$1:$A$49,products!$E$1:$E$49,,0)</f>
        <v>4.125</v>
      </c>
      <c r="M845" s="9">
        <f t="shared" si="13"/>
        <v>8.25</v>
      </c>
      <c r="N845" s="3" t="str" cm="1">
        <f t="array" ref="N845">_xlfn.SWITCH(I845,
"Rob","Robusta",
"Exc","Excelsa",
"Ara","Arabica",
"Lib","Liberica",
"")</f>
        <v>Excelsa</v>
      </c>
      <c r="O845" t="str" cm="1">
        <f t="array" ref="O845">_xlfn.SWITCH(J845,
"M","Medium",
"L","Light",
"D","Dark",
"")</f>
        <v>Medium</v>
      </c>
      <c r="P845" t="str">
        <f>_xlfn.XLOOKUP(Orders[[#This Row],[Customer ID]],customers!$A$1:$A$1001,customers!$I$1:$I$1001,,0)</f>
        <v>Yes</v>
      </c>
    </row>
    <row r="846" spans="1:16" x14ac:dyDescent="0.35">
      <c r="A846" s="2" t="s">
        <v>5262</v>
      </c>
      <c r="B846" s="4">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_xlfn.XLOOKUP(D846,products!$A$1:$A$49,products!$B$1:$B$49,,0)</f>
        <v>Ara</v>
      </c>
      <c r="J846" t="str">
        <f>_xlfn.XLOOKUP(D846,products!$A$1:$A$49,products!$C$1:$C$49,,0)</f>
        <v>D</v>
      </c>
      <c r="K846" s="7">
        <f>_xlfn.XLOOKUP(D846,products!$A$1:$A$49,products!$D$1:$D$49,,0)</f>
        <v>0.5</v>
      </c>
      <c r="L846" s="9">
        <f>_xlfn.XLOOKUP(D846,products!$A$1:$A$49,products!$E$1:$E$49,,0)</f>
        <v>5.97</v>
      </c>
      <c r="M846" s="9">
        <f t="shared" si="13"/>
        <v>35.82</v>
      </c>
      <c r="N846" s="3" t="str" cm="1">
        <f t="array" ref="N846">_xlfn.SWITCH(I846,
"Rob","Robusta",
"Exc","Excelsa",
"Ara","Arabica",
"Lib","Liberica",
"")</f>
        <v>Arabica</v>
      </c>
      <c r="O846" t="str" cm="1">
        <f t="array" ref="O846">_xlfn.SWITCH(J846,
"M","Medium",
"L","Light",
"D","Dark",
"")</f>
        <v>Dark</v>
      </c>
      <c r="P846" t="str">
        <f>_xlfn.XLOOKUP(Orders[[#This Row],[Customer ID]],customers!$A$1:$A$1001,customers!$I$1:$I$1001,,0)</f>
        <v>Yes</v>
      </c>
    </row>
    <row r="847" spans="1:16" x14ac:dyDescent="0.35">
      <c r="A847" s="2" t="s">
        <v>5268</v>
      </c>
      <c r="B847" s="4">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_xlfn.XLOOKUP(D847,products!$A$1:$A$49,products!$B$1:$B$49,,0)</f>
        <v>Exc</v>
      </c>
      <c r="J847" t="str">
        <f>_xlfn.XLOOKUP(D847,products!$A$1:$A$49,products!$C$1:$C$49,,0)</f>
        <v>D</v>
      </c>
      <c r="K847" s="7">
        <f>_xlfn.XLOOKUP(D847,products!$A$1:$A$49,products!$D$1:$D$49,,0)</f>
        <v>2.5</v>
      </c>
      <c r="L847" s="9">
        <f>_xlfn.XLOOKUP(D847,products!$A$1:$A$49,products!$E$1:$E$49,,0)</f>
        <v>27.945</v>
      </c>
      <c r="M847" s="9">
        <f t="shared" si="13"/>
        <v>167.67000000000002</v>
      </c>
      <c r="N847" s="3" t="str" cm="1">
        <f t="array" ref="N847">_xlfn.SWITCH(I847,
"Rob","Robusta",
"Exc","Excelsa",
"Ara","Arabica",
"Lib","Liberica",
"")</f>
        <v>Excelsa</v>
      </c>
      <c r="O847" t="str" cm="1">
        <f t="array" ref="O847">_xlfn.SWITCH(J847,
"M","Medium",
"L","Light",
"D","Dark",
"")</f>
        <v>Dark</v>
      </c>
      <c r="P847" t="str">
        <f>_xlfn.XLOOKUP(Orders[[#This Row],[Customer ID]],customers!$A$1:$A$1001,customers!$I$1:$I$1001,,0)</f>
        <v>No</v>
      </c>
    </row>
    <row r="848" spans="1:16" x14ac:dyDescent="0.35">
      <c r="A848" s="2" t="s">
        <v>5273</v>
      </c>
      <c r="B848" s="4">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_xlfn.XLOOKUP(D848,products!$A$1:$A$49,products!$B$1:$B$49,,0)</f>
        <v>Ara</v>
      </c>
      <c r="J848" t="str">
        <f>_xlfn.XLOOKUP(D848,products!$A$1:$A$49,products!$C$1:$C$49,,0)</f>
        <v>M</v>
      </c>
      <c r="K848" s="7">
        <f>_xlfn.XLOOKUP(D848,products!$A$1:$A$49,products!$D$1:$D$49,,0)</f>
        <v>2.5</v>
      </c>
      <c r="L848" s="9">
        <f>_xlfn.XLOOKUP(D848,products!$A$1:$A$49,products!$E$1:$E$49,,0)</f>
        <v>25.874999999999996</v>
      </c>
      <c r="M848" s="9">
        <f t="shared" si="13"/>
        <v>51.749999999999993</v>
      </c>
      <c r="N848" s="3" t="str" cm="1">
        <f t="array" ref="N848">_xlfn.SWITCH(I848,
"Rob","Robusta",
"Exc","Excelsa",
"Ara","Arabica",
"Lib","Liberica",
"")</f>
        <v>Arabica</v>
      </c>
      <c r="O848" t="str" cm="1">
        <f t="array" ref="O848">_xlfn.SWITCH(J848,
"M","Medium",
"L","Light",
"D","Dark",
"")</f>
        <v>Medium</v>
      </c>
      <c r="P848" t="str">
        <f>_xlfn.XLOOKUP(Orders[[#This Row],[Customer ID]],customers!$A$1:$A$1001,customers!$I$1:$I$1001,,0)</f>
        <v>Yes</v>
      </c>
    </row>
    <row r="849" spans="1:16" x14ac:dyDescent="0.35">
      <c r="A849" s="2" t="s">
        <v>5278</v>
      </c>
      <c r="B849" s="4">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_xlfn.XLOOKUP(D849,products!$A$1:$A$49,products!$B$1:$B$49,,0)</f>
        <v>Ara</v>
      </c>
      <c r="J849" t="str">
        <f>_xlfn.XLOOKUP(D849,products!$A$1:$A$49,products!$C$1:$C$49,,0)</f>
        <v>D</v>
      </c>
      <c r="K849" s="7">
        <f>_xlfn.XLOOKUP(D849,products!$A$1:$A$49,products!$D$1:$D$49,,0)</f>
        <v>0.2</v>
      </c>
      <c r="L849" s="9">
        <f>_xlfn.XLOOKUP(D849,products!$A$1:$A$49,products!$E$1:$E$49,,0)</f>
        <v>2.9849999999999999</v>
      </c>
      <c r="M849" s="9">
        <f t="shared" si="13"/>
        <v>8.9550000000000001</v>
      </c>
      <c r="N849" s="3" t="str" cm="1">
        <f t="array" ref="N849">_xlfn.SWITCH(I849,
"Rob","Robusta",
"Exc","Excelsa",
"Ara","Arabica",
"Lib","Liberica",
"")</f>
        <v>Arabica</v>
      </c>
      <c r="O849" t="str" cm="1">
        <f t="array" ref="O849">_xlfn.SWITCH(J849,
"M","Medium",
"L","Light",
"D","Dark",
"")</f>
        <v>Dark</v>
      </c>
      <c r="P849" t="str">
        <f>_xlfn.XLOOKUP(Orders[[#This Row],[Customer ID]],customers!$A$1:$A$1001,customers!$I$1:$I$1001,,0)</f>
        <v>Yes</v>
      </c>
    </row>
    <row r="850" spans="1:16" x14ac:dyDescent="0.35">
      <c r="A850" s="2" t="s">
        <v>5283</v>
      </c>
      <c r="B850" s="4">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_xlfn.XLOOKUP(D850,products!$A$1:$A$49,products!$B$1:$B$49,,0)</f>
        <v>Exc</v>
      </c>
      <c r="J850" t="str">
        <f>_xlfn.XLOOKUP(D850,products!$A$1:$A$49,products!$C$1:$C$49,,0)</f>
        <v>L</v>
      </c>
      <c r="K850" s="7">
        <f>_xlfn.XLOOKUP(D850,products!$A$1:$A$49,products!$D$1:$D$49,,0)</f>
        <v>0.5</v>
      </c>
      <c r="L850" s="9">
        <f>_xlfn.XLOOKUP(D850,products!$A$1:$A$49,products!$E$1:$E$49,,0)</f>
        <v>8.91</v>
      </c>
      <c r="M850" s="9">
        <f t="shared" si="13"/>
        <v>53.46</v>
      </c>
      <c r="N850" s="3" t="str" cm="1">
        <f t="array" ref="N850">_xlfn.SWITCH(I850,
"Rob","Robusta",
"Exc","Excelsa",
"Ara","Arabica",
"Lib","Liberica",
"")</f>
        <v>Excelsa</v>
      </c>
      <c r="O850" t="str" cm="1">
        <f t="array" ref="O850">_xlfn.SWITCH(J850,
"M","Medium",
"L","Light",
"D","Dark",
"")</f>
        <v>Light</v>
      </c>
      <c r="P850" t="str">
        <f>_xlfn.XLOOKUP(Orders[[#This Row],[Customer ID]],customers!$A$1:$A$1001,customers!$I$1:$I$1001,,0)</f>
        <v>No</v>
      </c>
    </row>
    <row r="851" spans="1:16" x14ac:dyDescent="0.35">
      <c r="A851" s="2" t="s">
        <v>5288</v>
      </c>
      <c r="B851" s="4">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_xlfn.XLOOKUP(D851,products!$A$1:$A$49,products!$B$1:$B$49,,0)</f>
        <v>Ara</v>
      </c>
      <c r="J851" t="str">
        <f>_xlfn.XLOOKUP(D851,products!$A$1:$A$49,products!$C$1:$C$49,,0)</f>
        <v>L</v>
      </c>
      <c r="K851" s="7">
        <f>_xlfn.XLOOKUP(D851,products!$A$1:$A$49,products!$D$1:$D$49,,0)</f>
        <v>0.2</v>
      </c>
      <c r="L851" s="9">
        <f>_xlfn.XLOOKUP(D851,products!$A$1:$A$49,products!$E$1:$E$49,,0)</f>
        <v>3.8849999999999998</v>
      </c>
      <c r="M851" s="9">
        <f t="shared" si="13"/>
        <v>23.31</v>
      </c>
      <c r="N851" s="3" t="str" cm="1">
        <f t="array" ref="N851">_xlfn.SWITCH(I851,
"Rob","Robusta",
"Exc","Excelsa",
"Ara","Arabica",
"Lib","Liberica",
"")</f>
        <v>Arabica</v>
      </c>
      <c r="O851" t="str" cm="1">
        <f t="array" ref="O851">_xlfn.SWITCH(J851,
"M","Medium",
"L","Light",
"D","Dark",
"")</f>
        <v>Light</v>
      </c>
      <c r="P851" t="str">
        <f>_xlfn.XLOOKUP(Orders[[#This Row],[Customer ID]],customers!$A$1:$A$1001,customers!$I$1:$I$1001,,0)</f>
        <v>Yes</v>
      </c>
    </row>
    <row r="852" spans="1:16" x14ac:dyDescent="0.35">
      <c r="A852" s="2" t="s">
        <v>5288</v>
      </c>
      <c r="B852" s="4">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_xlfn.XLOOKUP(D852,products!$A$1:$A$49,products!$B$1:$B$49,,0)</f>
        <v>Ara</v>
      </c>
      <c r="J852" t="str">
        <f>_xlfn.XLOOKUP(D852,products!$A$1:$A$49,products!$C$1:$C$49,,0)</f>
        <v>M</v>
      </c>
      <c r="K852" s="7">
        <f>_xlfn.XLOOKUP(D852,products!$A$1:$A$49,products!$D$1:$D$49,,0)</f>
        <v>0.2</v>
      </c>
      <c r="L852" s="9">
        <f>_xlfn.XLOOKUP(D852,products!$A$1:$A$49,products!$E$1:$E$49,,0)</f>
        <v>3.375</v>
      </c>
      <c r="M852" s="9">
        <f t="shared" si="13"/>
        <v>6.75</v>
      </c>
      <c r="N852" s="3" t="str" cm="1">
        <f t="array" ref="N852">_xlfn.SWITCH(I852,
"Rob","Robusta",
"Exc","Excelsa",
"Ara","Arabica",
"Lib","Liberica",
"")</f>
        <v>Arabica</v>
      </c>
      <c r="O852" t="str" cm="1">
        <f t="array" ref="O852">_xlfn.SWITCH(J852,
"M","Medium",
"L","Light",
"D","Dark",
"")</f>
        <v>Medium</v>
      </c>
      <c r="P852" t="str">
        <f>_xlfn.XLOOKUP(Orders[[#This Row],[Customer ID]],customers!$A$1:$A$1001,customers!$I$1:$I$1001,,0)</f>
        <v>Yes</v>
      </c>
    </row>
    <row r="853" spans="1:16" x14ac:dyDescent="0.35">
      <c r="A853" s="2" t="s">
        <v>5299</v>
      </c>
      <c r="B853" s="4">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_xlfn.XLOOKUP(D853,products!$A$1:$A$49,products!$B$1:$B$49,,0)</f>
        <v>Lib</v>
      </c>
      <c r="J853" t="str">
        <f>_xlfn.XLOOKUP(D853,products!$A$1:$A$49,products!$C$1:$C$49,,0)</f>
        <v>D</v>
      </c>
      <c r="K853" s="7">
        <f>_xlfn.XLOOKUP(D853,products!$A$1:$A$49,products!$D$1:$D$49,,0)</f>
        <v>0.5</v>
      </c>
      <c r="L853" s="9">
        <f>_xlfn.XLOOKUP(D853,products!$A$1:$A$49,products!$E$1:$E$49,,0)</f>
        <v>7.77</v>
      </c>
      <c r="M853" s="9">
        <f t="shared" si="13"/>
        <v>7.77</v>
      </c>
      <c r="N853" s="3" t="str" cm="1">
        <f t="array" ref="N853">_xlfn.SWITCH(I853,
"Rob","Robusta",
"Exc","Excelsa",
"Ara","Arabica",
"Lib","Liberica",
"")</f>
        <v>Liberica</v>
      </c>
      <c r="O853" t="str" cm="1">
        <f t="array" ref="O853">_xlfn.SWITCH(J853,
"M","Medium",
"L","Light",
"D","Dark",
"")</f>
        <v>Dark</v>
      </c>
      <c r="P853" t="str">
        <f>_xlfn.XLOOKUP(Orders[[#This Row],[Customer ID]],customers!$A$1:$A$1001,customers!$I$1:$I$1001,,0)</f>
        <v>Yes</v>
      </c>
    </row>
    <row r="854" spans="1:16" x14ac:dyDescent="0.35">
      <c r="A854" s="2" t="s">
        <v>5305</v>
      </c>
      <c r="B854" s="4">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_xlfn.XLOOKUP(D854,products!$A$1:$A$49,products!$B$1:$B$49,,0)</f>
        <v>Lib</v>
      </c>
      <c r="J854" t="str">
        <f>_xlfn.XLOOKUP(D854,products!$A$1:$A$49,products!$C$1:$C$49,,0)</f>
        <v>D</v>
      </c>
      <c r="K854" s="7">
        <f>_xlfn.XLOOKUP(D854,products!$A$1:$A$49,products!$D$1:$D$49,,0)</f>
        <v>2.5</v>
      </c>
      <c r="L854" s="9">
        <f>_xlfn.XLOOKUP(D854,products!$A$1:$A$49,products!$E$1:$E$49,,0)</f>
        <v>29.784999999999997</v>
      </c>
      <c r="M854" s="9">
        <f t="shared" si="13"/>
        <v>119.13999999999999</v>
      </c>
      <c r="N854" s="3" t="str" cm="1">
        <f t="array" ref="N854">_xlfn.SWITCH(I854,
"Rob","Robusta",
"Exc","Excelsa",
"Ara","Arabica",
"Lib","Liberica",
"")</f>
        <v>Liberica</v>
      </c>
      <c r="O854" t="str" cm="1">
        <f t="array" ref="O854">_xlfn.SWITCH(J854,
"M","Medium",
"L","Light",
"D","Dark",
"")</f>
        <v>Dark</v>
      </c>
      <c r="P854" t="str">
        <f>_xlfn.XLOOKUP(Orders[[#This Row],[Customer ID]],customers!$A$1:$A$1001,customers!$I$1:$I$1001,,0)</f>
        <v>Yes</v>
      </c>
    </row>
    <row r="855" spans="1:16" x14ac:dyDescent="0.35">
      <c r="A855" s="2" t="s">
        <v>5310</v>
      </c>
      <c r="B855" s="4">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_xlfn.XLOOKUP(D855,products!$A$1:$A$49,products!$B$1:$B$49,,0)</f>
        <v>Ara</v>
      </c>
      <c r="J855" t="str">
        <f>_xlfn.XLOOKUP(D855,products!$A$1:$A$49,products!$C$1:$C$49,,0)</f>
        <v>D</v>
      </c>
      <c r="K855" s="7">
        <f>_xlfn.XLOOKUP(D855,products!$A$1:$A$49,products!$D$1:$D$49,,0)</f>
        <v>1</v>
      </c>
      <c r="L855" s="9">
        <f>_xlfn.XLOOKUP(D855,products!$A$1:$A$49,products!$E$1:$E$49,,0)</f>
        <v>9.9499999999999993</v>
      </c>
      <c r="M855" s="9">
        <f t="shared" si="13"/>
        <v>19.899999999999999</v>
      </c>
      <c r="N855" s="3" t="str" cm="1">
        <f t="array" ref="N855">_xlfn.SWITCH(I855,
"Rob","Robusta",
"Exc","Excelsa",
"Ara","Arabica",
"Lib","Liberica",
"")</f>
        <v>Arabica</v>
      </c>
      <c r="O855" t="str" cm="1">
        <f t="array" ref="O855">_xlfn.SWITCH(J855,
"M","Medium",
"L","Light",
"D","Dark",
"")</f>
        <v>Dark</v>
      </c>
      <c r="P855" t="str">
        <f>_xlfn.XLOOKUP(Orders[[#This Row],[Customer ID]],customers!$A$1:$A$1001,customers!$I$1:$I$1001,,0)</f>
        <v>No</v>
      </c>
    </row>
    <row r="856" spans="1:16" x14ac:dyDescent="0.35">
      <c r="A856" s="2" t="s">
        <v>5315</v>
      </c>
      <c r="B856" s="4">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_xlfn.XLOOKUP(D856,products!$A$1:$A$49,products!$B$1:$B$49,,0)</f>
        <v>Rob</v>
      </c>
      <c r="J856" t="str">
        <f>_xlfn.XLOOKUP(D856,products!$A$1:$A$49,products!$C$1:$C$49,,0)</f>
        <v>L</v>
      </c>
      <c r="K856" s="7">
        <f>_xlfn.XLOOKUP(D856,products!$A$1:$A$49,products!$D$1:$D$49,,0)</f>
        <v>0.5</v>
      </c>
      <c r="L856" s="9">
        <f>_xlfn.XLOOKUP(D856,products!$A$1:$A$49,products!$E$1:$E$49,,0)</f>
        <v>7.169999999999999</v>
      </c>
      <c r="M856" s="9">
        <f t="shared" si="13"/>
        <v>35.849999999999994</v>
      </c>
      <c r="N856" s="3" t="str" cm="1">
        <f t="array" ref="N856">_xlfn.SWITCH(I856,
"Rob","Robusta",
"Exc","Excelsa",
"Ara","Arabica",
"Lib","Liberica",
"")</f>
        <v>Robusta</v>
      </c>
      <c r="O856" t="str" cm="1">
        <f t="array" ref="O856">_xlfn.SWITCH(J856,
"M","Medium",
"L","Light",
"D","Dark",
"")</f>
        <v>Light</v>
      </c>
      <c r="P856" t="str">
        <f>_xlfn.XLOOKUP(Orders[[#This Row],[Customer ID]],customers!$A$1:$A$1001,customers!$I$1:$I$1001,,0)</f>
        <v>Yes</v>
      </c>
    </row>
    <row r="857" spans="1:16" x14ac:dyDescent="0.35">
      <c r="A857" s="2" t="s">
        <v>5321</v>
      </c>
      <c r="B857" s="4">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_xlfn.XLOOKUP(D857,products!$A$1:$A$49,products!$B$1:$B$49,,0)</f>
        <v>Lib</v>
      </c>
      <c r="J857" t="str">
        <f>_xlfn.XLOOKUP(D857,products!$A$1:$A$49,products!$C$1:$C$49,,0)</f>
        <v>D</v>
      </c>
      <c r="K857" s="7">
        <f>_xlfn.XLOOKUP(D857,products!$A$1:$A$49,products!$D$1:$D$49,,0)</f>
        <v>2.5</v>
      </c>
      <c r="L857" s="9">
        <f>_xlfn.XLOOKUP(D857,products!$A$1:$A$49,products!$E$1:$E$49,,0)</f>
        <v>29.784999999999997</v>
      </c>
      <c r="M857" s="9">
        <f t="shared" si="13"/>
        <v>89.35499999999999</v>
      </c>
      <c r="N857" s="3" t="str" cm="1">
        <f t="array" ref="N857">_xlfn.SWITCH(I857,
"Rob","Robusta",
"Exc","Excelsa",
"Ara","Arabica",
"Lib","Liberica",
"")</f>
        <v>Liberica</v>
      </c>
      <c r="O857" t="str" cm="1">
        <f t="array" ref="O857">_xlfn.SWITCH(J857,
"M","Medium",
"L","Light",
"D","Dark",
"")</f>
        <v>Dark</v>
      </c>
      <c r="P857" t="str">
        <f>_xlfn.XLOOKUP(Orders[[#This Row],[Customer ID]],customers!$A$1:$A$1001,customers!$I$1:$I$1001,,0)</f>
        <v>No</v>
      </c>
    </row>
    <row r="858" spans="1:16" x14ac:dyDescent="0.35">
      <c r="A858" s="2" t="s">
        <v>5327</v>
      </c>
      <c r="B858" s="4">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_xlfn.XLOOKUP(D858,products!$A$1:$A$49,products!$B$1:$B$49,,0)</f>
        <v>Lib</v>
      </c>
      <c r="J858" t="str">
        <f>_xlfn.XLOOKUP(D858,products!$A$1:$A$49,products!$C$1:$C$49,,0)</f>
        <v>M</v>
      </c>
      <c r="K858" s="7">
        <f>_xlfn.XLOOKUP(D858,products!$A$1:$A$49,products!$D$1:$D$49,,0)</f>
        <v>0.2</v>
      </c>
      <c r="L858" s="9">
        <f>_xlfn.XLOOKUP(D858,products!$A$1:$A$49,products!$E$1:$E$49,,0)</f>
        <v>4.3650000000000002</v>
      </c>
      <c r="M858" s="9">
        <f t="shared" si="13"/>
        <v>8.73</v>
      </c>
      <c r="N858" s="3" t="str" cm="1">
        <f t="array" ref="N858">_xlfn.SWITCH(I858,
"Rob","Robusta",
"Exc","Excelsa",
"Ara","Arabica",
"Lib","Liberica",
"")</f>
        <v>Liberica</v>
      </c>
      <c r="O858" t="str" cm="1">
        <f t="array" ref="O858">_xlfn.SWITCH(J858,
"M","Medium",
"L","Light",
"D","Dark",
"")</f>
        <v>Medium</v>
      </c>
      <c r="P858" t="str">
        <f>_xlfn.XLOOKUP(Orders[[#This Row],[Customer ID]],customers!$A$1:$A$1001,customers!$I$1:$I$1001,,0)</f>
        <v>Yes</v>
      </c>
    </row>
    <row r="859" spans="1:16" x14ac:dyDescent="0.35">
      <c r="A859" s="2" t="s">
        <v>5333</v>
      </c>
      <c r="B859" s="4">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_xlfn.XLOOKUP(D859,products!$A$1:$A$49,products!$B$1:$B$49,,0)</f>
        <v>Rob</v>
      </c>
      <c r="J859" t="str">
        <f>_xlfn.XLOOKUP(D859,products!$A$1:$A$49,products!$C$1:$C$49,,0)</f>
        <v>L</v>
      </c>
      <c r="K859" s="7">
        <f>_xlfn.XLOOKUP(D859,products!$A$1:$A$49,products!$D$1:$D$49,,0)</f>
        <v>2.5</v>
      </c>
      <c r="L859" s="9">
        <f>_xlfn.XLOOKUP(D859,products!$A$1:$A$49,products!$E$1:$E$49,,0)</f>
        <v>27.484999999999996</v>
      </c>
      <c r="M859" s="9">
        <f t="shared" si="13"/>
        <v>137.42499999999998</v>
      </c>
      <c r="N859" s="3" t="str" cm="1">
        <f t="array" ref="N859">_xlfn.SWITCH(I859,
"Rob","Robusta",
"Exc","Excelsa",
"Ara","Arabica",
"Lib","Liberica",
"")</f>
        <v>Robusta</v>
      </c>
      <c r="O859" t="str" cm="1">
        <f t="array" ref="O859">_xlfn.SWITCH(J859,
"M","Medium",
"L","Light",
"D","Dark",
"")</f>
        <v>Light</v>
      </c>
      <c r="P859" t="str">
        <f>_xlfn.XLOOKUP(Orders[[#This Row],[Customer ID]],customers!$A$1:$A$1001,customers!$I$1:$I$1001,,0)</f>
        <v>No</v>
      </c>
    </row>
    <row r="860" spans="1:16" x14ac:dyDescent="0.35">
      <c r="A860" s="2" t="s">
        <v>5339</v>
      </c>
      <c r="B860" s="4">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_xlfn.XLOOKUP(D860,products!$A$1:$A$49,products!$B$1:$B$49,,0)</f>
        <v>Lib</v>
      </c>
      <c r="J860" t="str">
        <f>_xlfn.XLOOKUP(D860,products!$A$1:$A$49,products!$C$1:$C$49,,0)</f>
        <v>M</v>
      </c>
      <c r="K860" s="7">
        <f>_xlfn.XLOOKUP(D860,products!$A$1:$A$49,products!$D$1:$D$49,,0)</f>
        <v>0.5</v>
      </c>
      <c r="L860" s="9">
        <f>_xlfn.XLOOKUP(D860,products!$A$1:$A$49,products!$E$1:$E$49,,0)</f>
        <v>8.73</v>
      </c>
      <c r="M860" s="9">
        <f t="shared" si="13"/>
        <v>34.92</v>
      </c>
      <c r="N860" s="3" t="str" cm="1">
        <f t="array" ref="N860">_xlfn.SWITCH(I860,
"Rob","Robusta",
"Exc","Excelsa",
"Ara","Arabica",
"Lib","Liberica",
"")</f>
        <v>Liberica</v>
      </c>
      <c r="O860" t="str" cm="1">
        <f t="array" ref="O860">_xlfn.SWITCH(J860,
"M","Medium",
"L","Light",
"D","Dark",
"")</f>
        <v>Medium</v>
      </c>
      <c r="P860" t="str">
        <f>_xlfn.XLOOKUP(Orders[[#This Row],[Customer ID]],customers!$A$1:$A$1001,customers!$I$1:$I$1001,,0)</f>
        <v>No</v>
      </c>
    </row>
    <row r="861" spans="1:16" x14ac:dyDescent="0.35">
      <c r="A861" s="2" t="s">
        <v>5345</v>
      </c>
      <c r="B861" s="4">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_xlfn.XLOOKUP(D861,products!$A$1:$A$49,products!$B$1:$B$49,,0)</f>
        <v>Ara</v>
      </c>
      <c r="J861" t="str">
        <f>_xlfn.XLOOKUP(D861,products!$A$1:$A$49,products!$C$1:$C$49,,0)</f>
        <v>L</v>
      </c>
      <c r="K861" s="7">
        <f>_xlfn.XLOOKUP(D861,products!$A$1:$A$49,products!$D$1:$D$49,,0)</f>
        <v>2.5</v>
      </c>
      <c r="L861" s="9">
        <f>_xlfn.XLOOKUP(D861,products!$A$1:$A$49,products!$E$1:$E$49,,0)</f>
        <v>29.784999999999997</v>
      </c>
      <c r="M861" s="9">
        <f t="shared" si="13"/>
        <v>178.70999999999998</v>
      </c>
      <c r="N861" s="3" t="str" cm="1">
        <f t="array" ref="N861">_xlfn.SWITCH(I861,
"Rob","Robusta",
"Exc","Excelsa",
"Ara","Arabica",
"Lib","Liberica",
"")</f>
        <v>Arabica</v>
      </c>
      <c r="O861" t="str" cm="1">
        <f t="array" ref="O861">_xlfn.SWITCH(J861,
"M","Medium",
"L","Light",
"D","Dark",
"")</f>
        <v>Light</v>
      </c>
      <c r="P861" t="str">
        <f>_xlfn.XLOOKUP(Orders[[#This Row],[Customer ID]],customers!$A$1:$A$1001,customers!$I$1:$I$1001,,0)</f>
        <v>No</v>
      </c>
    </row>
    <row r="862" spans="1:16" x14ac:dyDescent="0.35">
      <c r="A862" s="2" t="s">
        <v>5351</v>
      </c>
      <c r="B862" s="4">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_xlfn.XLOOKUP(D862,products!$A$1:$A$49,products!$B$1:$B$49,,0)</f>
        <v>Ara</v>
      </c>
      <c r="J862" t="str">
        <f>_xlfn.XLOOKUP(D862,products!$A$1:$A$49,products!$C$1:$C$49,,0)</f>
        <v>M</v>
      </c>
      <c r="K862" s="7">
        <f>_xlfn.XLOOKUP(D862,products!$A$1:$A$49,products!$D$1:$D$49,,0)</f>
        <v>2.5</v>
      </c>
      <c r="L862" s="9">
        <f>_xlfn.XLOOKUP(D862,products!$A$1:$A$49,products!$E$1:$E$49,,0)</f>
        <v>25.874999999999996</v>
      </c>
      <c r="M862" s="9">
        <f t="shared" si="13"/>
        <v>25.874999999999996</v>
      </c>
      <c r="N862" s="3" t="str" cm="1">
        <f t="array" ref="N862">_xlfn.SWITCH(I862,
"Rob","Robusta",
"Exc","Excelsa",
"Ara","Arabica",
"Lib","Liberica",
"")</f>
        <v>Arabica</v>
      </c>
      <c r="O862" t="str" cm="1">
        <f t="array" ref="O862">_xlfn.SWITCH(J862,
"M","Medium",
"L","Light",
"D","Dark",
"")</f>
        <v>Medium</v>
      </c>
      <c r="P862" t="str">
        <f>_xlfn.XLOOKUP(Orders[[#This Row],[Customer ID]],customers!$A$1:$A$1001,customers!$I$1:$I$1001,,0)</f>
        <v>No</v>
      </c>
    </row>
    <row r="863" spans="1:16" x14ac:dyDescent="0.35">
      <c r="A863" s="2" t="s">
        <v>5356</v>
      </c>
      <c r="B863" s="4">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_xlfn.XLOOKUP(D863,products!$A$1:$A$49,products!$B$1:$B$49,,0)</f>
        <v>Lib</v>
      </c>
      <c r="J863" t="str">
        <f>_xlfn.XLOOKUP(D863,products!$A$1:$A$49,products!$C$1:$C$49,,0)</f>
        <v>D</v>
      </c>
      <c r="K863" s="7">
        <f>_xlfn.XLOOKUP(D863,products!$A$1:$A$49,products!$D$1:$D$49,,0)</f>
        <v>1</v>
      </c>
      <c r="L863" s="9">
        <f>_xlfn.XLOOKUP(D863,products!$A$1:$A$49,products!$E$1:$E$49,,0)</f>
        <v>12.95</v>
      </c>
      <c r="M863" s="9">
        <f t="shared" si="13"/>
        <v>77.699999999999989</v>
      </c>
      <c r="N863" s="3" t="str" cm="1">
        <f t="array" ref="N863">_xlfn.SWITCH(I863,
"Rob","Robusta",
"Exc","Excelsa",
"Ara","Arabica",
"Lib","Liberica",
"")</f>
        <v>Liberica</v>
      </c>
      <c r="O863" t="str" cm="1">
        <f t="array" ref="O863">_xlfn.SWITCH(J863,
"M","Medium",
"L","Light",
"D","Dark",
"")</f>
        <v>Dark</v>
      </c>
      <c r="P863" t="str">
        <f>_xlfn.XLOOKUP(Orders[[#This Row],[Customer ID]],customers!$A$1:$A$1001,customers!$I$1:$I$1001,,0)</f>
        <v>Yes</v>
      </c>
    </row>
    <row r="864" spans="1:16" x14ac:dyDescent="0.35">
      <c r="A864" s="2" t="s">
        <v>5362</v>
      </c>
      <c r="B864" s="4">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_xlfn.XLOOKUP(D864,products!$A$1:$A$49,products!$B$1:$B$49,,0)</f>
        <v>Rob</v>
      </c>
      <c r="J864" t="str">
        <f>_xlfn.XLOOKUP(D864,products!$A$1:$A$49,products!$C$1:$C$49,,0)</f>
        <v>M</v>
      </c>
      <c r="K864" s="7">
        <f>_xlfn.XLOOKUP(D864,products!$A$1:$A$49,products!$D$1:$D$49,,0)</f>
        <v>1</v>
      </c>
      <c r="L864" s="9">
        <f>_xlfn.XLOOKUP(D864,products!$A$1:$A$49,products!$E$1:$E$49,,0)</f>
        <v>9.9499999999999993</v>
      </c>
      <c r="M864" s="9">
        <f t="shared" si="13"/>
        <v>9.9499999999999993</v>
      </c>
      <c r="N864" s="3" t="str" cm="1">
        <f t="array" ref="N864">_xlfn.SWITCH(I864,
"Rob","Robusta",
"Exc","Excelsa",
"Ara","Arabica",
"Lib","Liberica",
"")</f>
        <v>Robusta</v>
      </c>
      <c r="O864" t="str" cm="1">
        <f t="array" ref="O864">_xlfn.SWITCH(J864,
"M","Medium",
"L","Light",
"D","Dark",
"")</f>
        <v>Medium</v>
      </c>
      <c r="P864" t="str">
        <f>_xlfn.XLOOKUP(Orders[[#This Row],[Customer ID]],customers!$A$1:$A$1001,customers!$I$1:$I$1001,,0)</f>
        <v>Yes</v>
      </c>
    </row>
    <row r="865" spans="1:16" x14ac:dyDescent="0.35">
      <c r="A865" s="2" t="s">
        <v>5368</v>
      </c>
      <c r="B865" s="4">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_xlfn.XLOOKUP(D865,products!$A$1:$A$49,products!$B$1:$B$49,,0)</f>
        <v>Lib</v>
      </c>
      <c r="J865" t="str">
        <f>_xlfn.XLOOKUP(D865,products!$A$1:$A$49,products!$C$1:$C$49,,0)</f>
        <v>M</v>
      </c>
      <c r="K865" s="7">
        <f>_xlfn.XLOOKUP(D865,products!$A$1:$A$49,products!$D$1:$D$49,,0)</f>
        <v>1</v>
      </c>
      <c r="L865" s="9">
        <f>_xlfn.XLOOKUP(D865,products!$A$1:$A$49,products!$E$1:$E$49,,0)</f>
        <v>14.55</v>
      </c>
      <c r="M865" s="9">
        <f t="shared" si="13"/>
        <v>29.1</v>
      </c>
      <c r="N865" s="3" t="str" cm="1">
        <f t="array" ref="N865">_xlfn.SWITCH(I865,
"Rob","Robusta",
"Exc","Excelsa",
"Ara","Arabica",
"Lib","Liberica",
"")</f>
        <v>Liberica</v>
      </c>
      <c r="O865" t="str" cm="1">
        <f t="array" ref="O865">_xlfn.SWITCH(J865,
"M","Medium",
"L","Light",
"D","Dark",
"")</f>
        <v>Medium</v>
      </c>
      <c r="P865" t="str">
        <f>_xlfn.XLOOKUP(Orders[[#This Row],[Customer ID]],customers!$A$1:$A$1001,customers!$I$1:$I$1001,,0)</f>
        <v>Yes</v>
      </c>
    </row>
    <row r="866" spans="1:16" x14ac:dyDescent="0.35">
      <c r="A866" s="2" t="s">
        <v>5374</v>
      </c>
      <c r="B866" s="4">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_xlfn.XLOOKUP(D866,products!$A$1:$A$49,products!$B$1:$B$49,,0)</f>
        <v>Rob</v>
      </c>
      <c r="J866" t="str">
        <f>_xlfn.XLOOKUP(D866,products!$A$1:$A$49,products!$C$1:$C$49,,0)</f>
        <v>L</v>
      </c>
      <c r="K866" s="7">
        <f>_xlfn.XLOOKUP(D866,products!$A$1:$A$49,products!$D$1:$D$49,,0)</f>
        <v>0.2</v>
      </c>
      <c r="L866" s="9">
        <f>_xlfn.XLOOKUP(D866,products!$A$1:$A$49,products!$E$1:$E$49,,0)</f>
        <v>3.5849999999999995</v>
      </c>
      <c r="M866" s="9">
        <f t="shared" si="13"/>
        <v>21.509999999999998</v>
      </c>
      <c r="N866" s="3" t="str" cm="1">
        <f t="array" ref="N866">_xlfn.SWITCH(I866,
"Rob","Robusta",
"Exc","Excelsa",
"Ara","Arabica",
"Lib","Liberica",
"")</f>
        <v>Robusta</v>
      </c>
      <c r="O866" t="str" cm="1">
        <f t="array" ref="O866">_xlfn.SWITCH(J866,
"M","Medium",
"L","Light",
"D","Dark",
"")</f>
        <v>Light</v>
      </c>
      <c r="P866" t="str">
        <f>_xlfn.XLOOKUP(Orders[[#This Row],[Customer ID]],customers!$A$1:$A$1001,customers!$I$1:$I$1001,,0)</f>
        <v>No</v>
      </c>
    </row>
    <row r="867" spans="1:16" x14ac:dyDescent="0.35">
      <c r="A867" s="2" t="s">
        <v>5380</v>
      </c>
      <c r="B867" s="4">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_xlfn.XLOOKUP(D867,products!$A$1:$A$49,products!$B$1:$B$49,,0)</f>
        <v>Ara</v>
      </c>
      <c r="J867" t="str">
        <f>_xlfn.XLOOKUP(D867,products!$A$1:$A$49,products!$C$1:$C$49,,0)</f>
        <v>M</v>
      </c>
      <c r="K867" s="7">
        <f>_xlfn.XLOOKUP(D867,products!$A$1:$A$49,products!$D$1:$D$49,,0)</f>
        <v>0.5</v>
      </c>
      <c r="L867" s="9">
        <f>_xlfn.XLOOKUP(D867,products!$A$1:$A$49,products!$E$1:$E$49,,0)</f>
        <v>6.75</v>
      </c>
      <c r="M867" s="9">
        <f t="shared" si="13"/>
        <v>6.75</v>
      </c>
      <c r="N867" s="3" t="str" cm="1">
        <f t="array" ref="N867">_xlfn.SWITCH(I867,
"Rob","Robusta",
"Exc","Excelsa",
"Ara","Arabica",
"Lib","Liberica",
"")</f>
        <v>Arabica</v>
      </c>
      <c r="O867" t="str" cm="1">
        <f t="array" ref="O867">_xlfn.SWITCH(J867,
"M","Medium",
"L","Light",
"D","Dark",
"")</f>
        <v>Medium</v>
      </c>
      <c r="P867" t="str">
        <f>_xlfn.XLOOKUP(Orders[[#This Row],[Customer ID]],customers!$A$1:$A$1001,customers!$I$1:$I$1001,,0)</f>
        <v>Yes</v>
      </c>
    </row>
    <row r="868" spans="1:16" x14ac:dyDescent="0.35">
      <c r="A868" s="2" t="s">
        <v>5385</v>
      </c>
      <c r="B868" s="4">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_xlfn.XLOOKUP(D868,products!$A$1:$A$49,products!$B$1:$B$49,,0)</f>
        <v>Ara</v>
      </c>
      <c r="J868" t="str">
        <f>_xlfn.XLOOKUP(D868,products!$A$1:$A$49,products!$C$1:$C$49,,0)</f>
        <v>D</v>
      </c>
      <c r="K868" s="7">
        <f>_xlfn.XLOOKUP(D868,products!$A$1:$A$49,products!$D$1:$D$49,,0)</f>
        <v>0.5</v>
      </c>
      <c r="L868" s="9">
        <f>_xlfn.XLOOKUP(D868,products!$A$1:$A$49,products!$E$1:$E$49,,0)</f>
        <v>5.97</v>
      </c>
      <c r="M868" s="9">
        <f t="shared" si="13"/>
        <v>17.91</v>
      </c>
      <c r="N868" s="3" t="str" cm="1">
        <f t="array" ref="N868">_xlfn.SWITCH(I868,
"Rob","Robusta",
"Exc","Excelsa",
"Ara","Arabica",
"Lib","Liberica",
"")</f>
        <v>Arabica</v>
      </c>
      <c r="O868" t="str" cm="1">
        <f t="array" ref="O868">_xlfn.SWITCH(J868,
"M","Medium",
"L","Light",
"D","Dark",
"")</f>
        <v>Dark</v>
      </c>
      <c r="P868" t="str">
        <f>_xlfn.XLOOKUP(Orders[[#This Row],[Customer ID]],customers!$A$1:$A$1001,customers!$I$1:$I$1001,,0)</f>
        <v>No</v>
      </c>
    </row>
    <row r="869" spans="1:16" x14ac:dyDescent="0.35">
      <c r="A869" s="2" t="s">
        <v>5391</v>
      </c>
      <c r="B869" s="4">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_xlfn.XLOOKUP(D869,products!$A$1:$A$49,products!$B$1:$B$49,,0)</f>
        <v>Ara</v>
      </c>
      <c r="J869" t="str">
        <f>_xlfn.XLOOKUP(D869,products!$A$1:$A$49,products!$C$1:$C$49,,0)</f>
        <v>L</v>
      </c>
      <c r="K869" s="7">
        <f>_xlfn.XLOOKUP(D869,products!$A$1:$A$49,products!$D$1:$D$49,,0)</f>
        <v>2.5</v>
      </c>
      <c r="L869" s="9">
        <f>_xlfn.XLOOKUP(D869,products!$A$1:$A$49,products!$E$1:$E$49,,0)</f>
        <v>29.784999999999997</v>
      </c>
      <c r="M869" s="9">
        <f t="shared" si="13"/>
        <v>29.784999999999997</v>
      </c>
      <c r="N869" s="3" t="str" cm="1">
        <f t="array" ref="N869">_xlfn.SWITCH(I869,
"Rob","Robusta",
"Exc","Excelsa",
"Ara","Arabica",
"Lib","Liberica",
"")</f>
        <v>Arabica</v>
      </c>
      <c r="O869" t="str" cm="1">
        <f t="array" ref="O869">_xlfn.SWITCH(J869,
"M","Medium",
"L","Light",
"D","Dark",
"")</f>
        <v>Light</v>
      </c>
      <c r="P869" t="str">
        <f>_xlfn.XLOOKUP(Orders[[#This Row],[Customer ID]],customers!$A$1:$A$1001,customers!$I$1:$I$1001,,0)</f>
        <v>Yes</v>
      </c>
    </row>
    <row r="870" spans="1:16" x14ac:dyDescent="0.35">
      <c r="A870" s="2" t="s">
        <v>5396</v>
      </c>
      <c r="B870" s="4">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_xlfn.XLOOKUP(D870,products!$A$1:$A$49,products!$B$1:$B$49,,0)</f>
        <v>Exc</v>
      </c>
      <c r="J870" t="str">
        <f>_xlfn.XLOOKUP(D870,products!$A$1:$A$49,products!$C$1:$C$49,,0)</f>
        <v>M</v>
      </c>
      <c r="K870" s="7">
        <f>_xlfn.XLOOKUP(D870,products!$A$1:$A$49,products!$D$1:$D$49,,0)</f>
        <v>0.5</v>
      </c>
      <c r="L870" s="9">
        <f>_xlfn.XLOOKUP(D870,products!$A$1:$A$49,products!$E$1:$E$49,,0)</f>
        <v>8.25</v>
      </c>
      <c r="M870" s="9">
        <f t="shared" si="13"/>
        <v>41.25</v>
      </c>
      <c r="N870" s="3" t="str" cm="1">
        <f t="array" ref="N870">_xlfn.SWITCH(I870,
"Rob","Robusta",
"Exc","Excelsa",
"Ara","Arabica",
"Lib","Liberica",
"")</f>
        <v>Excelsa</v>
      </c>
      <c r="O870" t="str" cm="1">
        <f t="array" ref="O870">_xlfn.SWITCH(J870,
"M","Medium",
"L","Light",
"D","Dark",
"")</f>
        <v>Medium</v>
      </c>
      <c r="P870" t="str">
        <f>_xlfn.XLOOKUP(Orders[[#This Row],[Customer ID]],customers!$A$1:$A$1001,customers!$I$1:$I$1001,,0)</f>
        <v>Yes</v>
      </c>
    </row>
    <row r="871" spans="1:16" x14ac:dyDescent="0.35">
      <c r="A871" s="2" t="s">
        <v>5402</v>
      </c>
      <c r="B871" s="4">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_xlfn.XLOOKUP(D871,products!$A$1:$A$49,products!$B$1:$B$49,,0)</f>
        <v>Rob</v>
      </c>
      <c r="J871" t="str">
        <f>_xlfn.XLOOKUP(D871,products!$A$1:$A$49,products!$C$1:$C$49,,0)</f>
        <v>M</v>
      </c>
      <c r="K871" s="7">
        <f>_xlfn.XLOOKUP(D871,products!$A$1:$A$49,products!$D$1:$D$49,,0)</f>
        <v>0.5</v>
      </c>
      <c r="L871" s="9">
        <f>_xlfn.XLOOKUP(D871,products!$A$1:$A$49,products!$E$1:$E$49,,0)</f>
        <v>5.97</v>
      </c>
      <c r="M871" s="9">
        <f t="shared" si="13"/>
        <v>17.91</v>
      </c>
      <c r="N871" s="3" t="str" cm="1">
        <f t="array" ref="N871">_xlfn.SWITCH(I871,
"Rob","Robusta",
"Exc","Excelsa",
"Ara","Arabica",
"Lib","Liberica",
"")</f>
        <v>Robusta</v>
      </c>
      <c r="O871" t="str" cm="1">
        <f t="array" ref="O871">_xlfn.SWITCH(J871,
"M","Medium",
"L","Light",
"D","Dark",
"")</f>
        <v>Medium</v>
      </c>
      <c r="P871" t="str">
        <f>_xlfn.XLOOKUP(Orders[[#This Row],[Customer ID]],customers!$A$1:$A$1001,customers!$I$1:$I$1001,,0)</f>
        <v>Yes</v>
      </c>
    </row>
    <row r="872" spans="1:16" x14ac:dyDescent="0.35">
      <c r="A872" s="2" t="s">
        <v>5407</v>
      </c>
      <c r="B872" s="4">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_xlfn.XLOOKUP(D872,products!$A$1:$A$49,products!$B$1:$B$49,,0)</f>
        <v>Exc</v>
      </c>
      <c r="J872" t="str">
        <f>_xlfn.XLOOKUP(D872,products!$A$1:$A$49,products!$C$1:$C$49,,0)</f>
        <v>D</v>
      </c>
      <c r="K872" s="7">
        <f>_xlfn.XLOOKUP(D872,products!$A$1:$A$49,products!$D$1:$D$49,,0)</f>
        <v>0.5</v>
      </c>
      <c r="L872" s="9">
        <f>_xlfn.XLOOKUP(D872,products!$A$1:$A$49,products!$E$1:$E$49,,0)</f>
        <v>7.29</v>
      </c>
      <c r="M872" s="9">
        <f t="shared" si="13"/>
        <v>7.29</v>
      </c>
      <c r="N872" s="3" t="str" cm="1">
        <f t="array" ref="N872">_xlfn.SWITCH(I872,
"Rob","Robusta",
"Exc","Excelsa",
"Ara","Arabica",
"Lib","Liberica",
"")</f>
        <v>Excelsa</v>
      </c>
      <c r="O872" t="str" cm="1">
        <f t="array" ref="O872">_xlfn.SWITCH(J872,
"M","Medium",
"L","Light",
"D","Dark",
"")</f>
        <v>Dark</v>
      </c>
      <c r="P872" t="str">
        <f>_xlfn.XLOOKUP(Orders[[#This Row],[Customer ID]],customers!$A$1:$A$1001,customers!$I$1:$I$1001,,0)</f>
        <v>Yes</v>
      </c>
    </row>
    <row r="873" spans="1:16" x14ac:dyDescent="0.35">
      <c r="A873" s="2" t="s">
        <v>5413</v>
      </c>
      <c r="B873" s="4">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_xlfn.XLOOKUP(D873,products!$A$1:$A$49,products!$B$1:$B$49,,0)</f>
        <v>Exc</v>
      </c>
      <c r="J873" t="str">
        <f>_xlfn.XLOOKUP(D873,products!$A$1:$A$49,products!$C$1:$C$49,,0)</f>
        <v>L</v>
      </c>
      <c r="K873" s="7">
        <f>_xlfn.XLOOKUP(D873,products!$A$1:$A$49,products!$D$1:$D$49,,0)</f>
        <v>1</v>
      </c>
      <c r="L873" s="9">
        <f>_xlfn.XLOOKUP(D873,products!$A$1:$A$49,products!$E$1:$E$49,,0)</f>
        <v>14.85</v>
      </c>
      <c r="M873" s="9">
        <f t="shared" si="13"/>
        <v>29.7</v>
      </c>
      <c r="N873" s="3" t="str" cm="1">
        <f t="array" ref="N873">_xlfn.SWITCH(I873,
"Rob","Robusta",
"Exc","Excelsa",
"Ara","Arabica",
"Lib","Liberica",
"")</f>
        <v>Excelsa</v>
      </c>
      <c r="O873" t="str" cm="1">
        <f t="array" ref="O873">_xlfn.SWITCH(J873,
"M","Medium",
"L","Light",
"D","Dark",
"")</f>
        <v>Light</v>
      </c>
      <c r="P873" t="str">
        <f>_xlfn.XLOOKUP(Orders[[#This Row],[Customer ID]],customers!$A$1:$A$1001,customers!$I$1:$I$1001,,0)</f>
        <v>Yes</v>
      </c>
    </row>
    <row r="874" spans="1:16" x14ac:dyDescent="0.35">
      <c r="A874" s="2" t="s">
        <v>5421</v>
      </c>
      <c r="B874" s="4">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_xlfn.XLOOKUP(D874,products!$A$1:$A$49,products!$B$1:$B$49,,0)</f>
        <v>Ara</v>
      </c>
      <c r="J874" t="str">
        <f>_xlfn.XLOOKUP(D874,products!$A$1:$A$49,products!$C$1:$C$49,,0)</f>
        <v>M</v>
      </c>
      <c r="K874" s="7">
        <f>_xlfn.XLOOKUP(D874,products!$A$1:$A$49,products!$D$1:$D$49,,0)</f>
        <v>1</v>
      </c>
      <c r="L874" s="9">
        <f>_xlfn.XLOOKUP(D874,products!$A$1:$A$49,products!$E$1:$E$49,,0)</f>
        <v>11.25</v>
      </c>
      <c r="M874" s="9">
        <f t="shared" si="13"/>
        <v>22.5</v>
      </c>
      <c r="N874" s="3" t="str" cm="1">
        <f t="array" ref="N874">_xlfn.SWITCH(I874,
"Rob","Robusta",
"Exc","Excelsa",
"Ara","Arabica",
"Lib","Liberica",
"")</f>
        <v>Arabica</v>
      </c>
      <c r="O874" t="str" cm="1">
        <f t="array" ref="O874">_xlfn.SWITCH(J874,
"M","Medium",
"L","Light",
"D","Dark",
"")</f>
        <v>Medium</v>
      </c>
      <c r="P874" t="str">
        <f>_xlfn.XLOOKUP(Orders[[#This Row],[Customer ID]],customers!$A$1:$A$1001,customers!$I$1:$I$1001,,0)</f>
        <v>No</v>
      </c>
    </row>
    <row r="875" spans="1:16" x14ac:dyDescent="0.35">
      <c r="A875" s="2" t="s">
        <v>5427</v>
      </c>
      <c r="B875" s="4">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_xlfn.XLOOKUP(D875,products!$A$1:$A$49,products!$B$1:$B$49,,0)</f>
        <v>Rob</v>
      </c>
      <c r="J875" t="str">
        <f>_xlfn.XLOOKUP(D875,products!$A$1:$A$49,products!$C$1:$C$49,,0)</f>
        <v>M</v>
      </c>
      <c r="K875" s="7">
        <f>_xlfn.XLOOKUP(D875,products!$A$1:$A$49,products!$D$1:$D$49,,0)</f>
        <v>0.2</v>
      </c>
      <c r="L875" s="9">
        <f>_xlfn.XLOOKUP(D875,products!$A$1:$A$49,products!$E$1:$E$49,,0)</f>
        <v>2.9849999999999999</v>
      </c>
      <c r="M875" s="9">
        <f t="shared" si="13"/>
        <v>11.94</v>
      </c>
      <c r="N875" s="3" t="str" cm="1">
        <f t="array" ref="N875">_xlfn.SWITCH(I875,
"Rob","Robusta",
"Exc","Excelsa",
"Ara","Arabica",
"Lib","Liberica",
"")</f>
        <v>Robusta</v>
      </c>
      <c r="O875" t="str" cm="1">
        <f t="array" ref="O875">_xlfn.SWITCH(J875,
"M","Medium",
"L","Light",
"D","Dark",
"")</f>
        <v>Medium</v>
      </c>
      <c r="P875" t="str">
        <f>_xlfn.XLOOKUP(Orders[[#This Row],[Customer ID]],customers!$A$1:$A$1001,customers!$I$1:$I$1001,,0)</f>
        <v>Yes</v>
      </c>
    </row>
    <row r="876" spans="1:16" x14ac:dyDescent="0.35">
      <c r="A876" s="2" t="s">
        <v>5433</v>
      </c>
      <c r="B876" s="4">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_xlfn.XLOOKUP(D876,products!$A$1:$A$49,products!$B$1:$B$49,,0)</f>
        <v>Ara</v>
      </c>
      <c r="J876" t="str">
        <f>_xlfn.XLOOKUP(D876,products!$A$1:$A$49,products!$C$1:$C$49,,0)</f>
        <v>L</v>
      </c>
      <c r="K876" s="7">
        <f>_xlfn.XLOOKUP(D876,products!$A$1:$A$49,products!$D$1:$D$49,,0)</f>
        <v>1</v>
      </c>
      <c r="L876" s="9">
        <f>_xlfn.XLOOKUP(D876,products!$A$1:$A$49,products!$E$1:$E$49,,0)</f>
        <v>12.95</v>
      </c>
      <c r="M876" s="9">
        <f t="shared" si="13"/>
        <v>25.9</v>
      </c>
      <c r="N876" s="3" t="str" cm="1">
        <f t="array" ref="N876">_xlfn.SWITCH(I876,
"Rob","Robusta",
"Exc","Excelsa",
"Ara","Arabica",
"Lib","Liberica",
"")</f>
        <v>Arabica</v>
      </c>
      <c r="O876" t="str" cm="1">
        <f t="array" ref="O876">_xlfn.SWITCH(J876,
"M","Medium",
"L","Light",
"D","Dark",
"")</f>
        <v>Light</v>
      </c>
      <c r="P876" t="str">
        <f>_xlfn.XLOOKUP(Orders[[#This Row],[Customer ID]],customers!$A$1:$A$1001,customers!$I$1:$I$1001,,0)</f>
        <v>No</v>
      </c>
    </row>
    <row r="877" spans="1:16" x14ac:dyDescent="0.35">
      <c r="A877" s="2" t="s">
        <v>5439</v>
      </c>
      <c r="B877" s="4">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_xlfn.XLOOKUP(D877,products!$A$1:$A$49,products!$B$1:$B$49,,0)</f>
        <v>Lib</v>
      </c>
      <c r="J877" t="str">
        <f>_xlfn.XLOOKUP(D877,products!$A$1:$A$49,products!$C$1:$C$49,,0)</f>
        <v>M</v>
      </c>
      <c r="K877" s="7">
        <f>_xlfn.XLOOKUP(D877,products!$A$1:$A$49,products!$D$1:$D$49,,0)</f>
        <v>0.5</v>
      </c>
      <c r="L877" s="9">
        <f>_xlfn.XLOOKUP(D877,products!$A$1:$A$49,products!$E$1:$E$49,,0)</f>
        <v>8.73</v>
      </c>
      <c r="M877" s="9">
        <f t="shared" si="13"/>
        <v>43.650000000000006</v>
      </c>
      <c r="N877" s="3" t="str" cm="1">
        <f t="array" ref="N877">_xlfn.SWITCH(I877,
"Rob","Robusta",
"Exc","Excelsa",
"Ara","Arabica",
"Lib","Liberica",
"")</f>
        <v>Liberica</v>
      </c>
      <c r="O877" t="str" cm="1">
        <f t="array" ref="O877">_xlfn.SWITCH(J877,
"M","Medium",
"L","Light",
"D","Dark",
"")</f>
        <v>Medium</v>
      </c>
      <c r="P877" t="str">
        <f>_xlfn.XLOOKUP(Orders[[#This Row],[Customer ID]],customers!$A$1:$A$1001,customers!$I$1:$I$1001,,0)</f>
        <v>No</v>
      </c>
    </row>
    <row r="878" spans="1:16" x14ac:dyDescent="0.35">
      <c r="A878" s="2" t="s">
        <v>5439</v>
      </c>
      <c r="B878" s="4">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_xlfn.XLOOKUP(D878,products!$A$1:$A$49,products!$B$1:$B$49,,0)</f>
        <v>Ara</v>
      </c>
      <c r="J878" t="str">
        <f>_xlfn.XLOOKUP(D878,products!$A$1:$A$49,products!$C$1:$C$49,,0)</f>
        <v>L</v>
      </c>
      <c r="K878" s="7">
        <f>_xlfn.XLOOKUP(D878,products!$A$1:$A$49,products!$D$1:$D$49,,0)</f>
        <v>0.5</v>
      </c>
      <c r="L878" s="9">
        <f>_xlfn.XLOOKUP(D878,products!$A$1:$A$49,products!$E$1:$E$49,,0)</f>
        <v>7.77</v>
      </c>
      <c r="M878" s="9">
        <f t="shared" si="13"/>
        <v>46.62</v>
      </c>
      <c r="N878" s="3" t="str" cm="1">
        <f t="array" ref="N878">_xlfn.SWITCH(I878,
"Rob","Robusta",
"Exc","Excelsa",
"Ara","Arabica",
"Lib","Liberica",
"")</f>
        <v>Arabica</v>
      </c>
      <c r="O878" t="str" cm="1">
        <f t="array" ref="O878">_xlfn.SWITCH(J878,
"M","Medium",
"L","Light",
"D","Dark",
"")</f>
        <v>Light</v>
      </c>
      <c r="P878" t="str">
        <f>_xlfn.XLOOKUP(Orders[[#This Row],[Customer ID]],customers!$A$1:$A$1001,customers!$I$1:$I$1001,,0)</f>
        <v>No</v>
      </c>
    </row>
    <row r="879" spans="1:16" x14ac:dyDescent="0.35">
      <c r="A879" s="2" t="s">
        <v>5450</v>
      </c>
      <c r="B879" s="4">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_xlfn.XLOOKUP(D879,products!$A$1:$A$49,products!$B$1:$B$49,,0)</f>
        <v>Lib</v>
      </c>
      <c r="J879" t="str">
        <f>_xlfn.XLOOKUP(D879,products!$A$1:$A$49,products!$C$1:$C$49,,0)</f>
        <v>L</v>
      </c>
      <c r="K879" s="7">
        <f>_xlfn.XLOOKUP(D879,products!$A$1:$A$49,products!$D$1:$D$49,,0)</f>
        <v>0.5</v>
      </c>
      <c r="L879" s="9">
        <f>_xlfn.XLOOKUP(D879,products!$A$1:$A$49,products!$E$1:$E$49,,0)</f>
        <v>9.51</v>
      </c>
      <c r="M879" s="9">
        <f t="shared" si="13"/>
        <v>28.53</v>
      </c>
      <c r="N879" s="3" t="str" cm="1">
        <f t="array" ref="N879">_xlfn.SWITCH(I879,
"Rob","Robusta",
"Exc","Excelsa",
"Ara","Arabica",
"Lib","Liberica",
"")</f>
        <v>Liberica</v>
      </c>
      <c r="O879" t="str" cm="1">
        <f t="array" ref="O879">_xlfn.SWITCH(J879,
"M","Medium",
"L","Light",
"D","Dark",
"")</f>
        <v>Light</v>
      </c>
      <c r="P879" t="str">
        <f>_xlfn.XLOOKUP(Orders[[#This Row],[Customer ID]],customers!$A$1:$A$1001,customers!$I$1:$I$1001,,0)</f>
        <v>No</v>
      </c>
    </row>
    <row r="880" spans="1:16" x14ac:dyDescent="0.35">
      <c r="A880" s="2" t="s">
        <v>5456</v>
      </c>
      <c r="B880" s="4">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_xlfn.XLOOKUP(D880,products!$A$1:$A$49,products!$B$1:$B$49,,0)</f>
        <v>Rob</v>
      </c>
      <c r="J880" t="str">
        <f>_xlfn.XLOOKUP(D880,products!$A$1:$A$49,products!$C$1:$C$49,,0)</f>
        <v>L</v>
      </c>
      <c r="K880" s="7">
        <f>_xlfn.XLOOKUP(D880,products!$A$1:$A$49,products!$D$1:$D$49,,0)</f>
        <v>2.5</v>
      </c>
      <c r="L880" s="9">
        <f>_xlfn.XLOOKUP(D880,products!$A$1:$A$49,products!$E$1:$E$49,,0)</f>
        <v>27.484999999999996</v>
      </c>
      <c r="M880" s="9">
        <f t="shared" si="13"/>
        <v>27.484999999999996</v>
      </c>
      <c r="N880" s="3" t="str" cm="1">
        <f t="array" ref="N880">_xlfn.SWITCH(I880,
"Rob","Robusta",
"Exc","Excelsa",
"Ara","Arabica",
"Lib","Liberica",
"")</f>
        <v>Robusta</v>
      </c>
      <c r="O880" t="str" cm="1">
        <f t="array" ref="O880">_xlfn.SWITCH(J880,
"M","Medium",
"L","Light",
"D","Dark",
"")</f>
        <v>Light</v>
      </c>
      <c r="P880" t="str">
        <f>_xlfn.XLOOKUP(Orders[[#This Row],[Customer ID]],customers!$A$1:$A$1001,customers!$I$1:$I$1001,,0)</f>
        <v>Yes</v>
      </c>
    </row>
    <row r="881" spans="1:16" x14ac:dyDescent="0.35">
      <c r="A881" s="2" t="s">
        <v>5461</v>
      </c>
      <c r="B881" s="4">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_xlfn.XLOOKUP(D881,products!$A$1:$A$49,products!$B$1:$B$49,,0)</f>
        <v>Exc</v>
      </c>
      <c r="J881" t="str">
        <f>_xlfn.XLOOKUP(D881,products!$A$1:$A$49,products!$C$1:$C$49,,0)</f>
        <v>D</v>
      </c>
      <c r="K881" s="7">
        <f>_xlfn.XLOOKUP(D881,products!$A$1:$A$49,products!$D$1:$D$49,,0)</f>
        <v>0.2</v>
      </c>
      <c r="L881" s="9">
        <f>_xlfn.XLOOKUP(D881,products!$A$1:$A$49,products!$E$1:$E$49,,0)</f>
        <v>3.645</v>
      </c>
      <c r="M881" s="9">
        <f t="shared" si="13"/>
        <v>10.935</v>
      </c>
      <c r="N881" s="3" t="str" cm="1">
        <f t="array" ref="N881">_xlfn.SWITCH(I881,
"Rob","Robusta",
"Exc","Excelsa",
"Ara","Arabica",
"Lib","Liberica",
"")</f>
        <v>Excelsa</v>
      </c>
      <c r="O881" t="str" cm="1">
        <f t="array" ref="O881">_xlfn.SWITCH(J881,
"M","Medium",
"L","Light",
"D","Dark",
"")</f>
        <v>Dark</v>
      </c>
      <c r="P881" t="str">
        <f>_xlfn.XLOOKUP(Orders[[#This Row],[Customer ID]],customers!$A$1:$A$1001,customers!$I$1:$I$1001,,0)</f>
        <v>No</v>
      </c>
    </row>
    <row r="882" spans="1:16" x14ac:dyDescent="0.35">
      <c r="A882" s="2" t="s">
        <v>5466</v>
      </c>
      <c r="B882" s="4">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_xlfn.XLOOKUP(D882,products!$A$1:$A$49,products!$B$1:$B$49,,0)</f>
        <v>Rob</v>
      </c>
      <c r="J882" t="str">
        <f>_xlfn.XLOOKUP(D882,products!$A$1:$A$49,products!$C$1:$C$49,,0)</f>
        <v>L</v>
      </c>
      <c r="K882" s="7">
        <f>_xlfn.XLOOKUP(D882,products!$A$1:$A$49,products!$D$1:$D$49,,0)</f>
        <v>0.2</v>
      </c>
      <c r="L882" s="9">
        <f>_xlfn.XLOOKUP(D882,products!$A$1:$A$49,products!$E$1:$E$49,,0)</f>
        <v>3.5849999999999995</v>
      </c>
      <c r="M882" s="9">
        <f t="shared" si="13"/>
        <v>7.169999999999999</v>
      </c>
      <c r="N882" s="3" t="str" cm="1">
        <f t="array" ref="N882">_xlfn.SWITCH(I882,
"Rob","Robusta",
"Exc","Excelsa",
"Ara","Arabica",
"Lib","Liberica",
"")</f>
        <v>Robusta</v>
      </c>
      <c r="O882" t="str" cm="1">
        <f t="array" ref="O882">_xlfn.SWITCH(J882,
"M","Medium",
"L","Light",
"D","Dark",
"")</f>
        <v>Light</v>
      </c>
      <c r="P882" t="str">
        <f>_xlfn.XLOOKUP(Orders[[#This Row],[Customer ID]],customers!$A$1:$A$1001,customers!$I$1:$I$1001,,0)</f>
        <v>No</v>
      </c>
    </row>
    <row r="883" spans="1:16" x14ac:dyDescent="0.35">
      <c r="A883" s="2" t="s">
        <v>5472</v>
      </c>
      <c r="B883" s="4">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_xlfn.XLOOKUP(D883,products!$A$1:$A$49,products!$B$1:$B$49,,0)</f>
        <v>Ara</v>
      </c>
      <c r="J883" t="str">
        <f>_xlfn.XLOOKUP(D883,products!$A$1:$A$49,products!$C$1:$C$49,,0)</f>
        <v>L</v>
      </c>
      <c r="K883" s="7">
        <f>_xlfn.XLOOKUP(D883,products!$A$1:$A$49,products!$D$1:$D$49,,0)</f>
        <v>0.2</v>
      </c>
      <c r="L883" s="9">
        <f>_xlfn.XLOOKUP(D883,products!$A$1:$A$49,products!$E$1:$E$49,,0)</f>
        <v>3.8849999999999998</v>
      </c>
      <c r="M883" s="9">
        <f t="shared" si="13"/>
        <v>23.31</v>
      </c>
      <c r="N883" s="3" t="str" cm="1">
        <f t="array" ref="N883">_xlfn.SWITCH(I883,
"Rob","Robusta",
"Exc","Excelsa",
"Ara","Arabica",
"Lib","Liberica",
"")</f>
        <v>Arabica</v>
      </c>
      <c r="O883" t="str" cm="1">
        <f t="array" ref="O883">_xlfn.SWITCH(J883,
"M","Medium",
"L","Light",
"D","Dark",
"")</f>
        <v>Light</v>
      </c>
      <c r="P883" t="str">
        <f>_xlfn.XLOOKUP(Orders[[#This Row],[Customer ID]],customers!$A$1:$A$1001,customers!$I$1:$I$1001,,0)</f>
        <v>Yes</v>
      </c>
    </row>
    <row r="884" spans="1:16" x14ac:dyDescent="0.35">
      <c r="A884" s="2" t="s">
        <v>5477</v>
      </c>
      <c r="B884" s="4">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_xlfn.XLOOKUP(D884,products!$A$1:$A$49,products!$B$1:$B$49,,0)</f>
        <v>Ara</v>
      </c>
      <c r="J884" t="str">
        <f>_xlfn.XLOOKUP(D884,products!$A$1:$A$49,products!$C$1:$C$49,,0)</f>
        <v>D</v>
      </c>
      <c r="K884" s="7">
        <f>_xlfn.XLOOKUP(D884,products!$A$1:$A$49,products!$D$1:$D$49,,0)</f>
        <v>2.5</v>
      </c>
      <c r="L884" s="9">
        <f>_xlfn.XLOOKUP(D884,products!$A$1:$A$49,products!$E$1:$E$49,,0)</f>
        <v>22.884999999999998</v>
      </c>
      <c r="M884" s="9">
        <f t="shared" si="13"/>
        <v>114.42499999999998</v>
      </c>
      <c r="N884" s="3" t="str" cm="1">
        <f t="array" ref="N884">_xlfn.SWITCH(I884,
"Rob","Robusta",
"Exc","Excelsa",
"Ara","Arabica",
"Lib","Liberica",
"")</f>
        <v>Arabica</v>
      </c>
      <c r="O884" t="str" cm="1">
        <f t="array" ref="O884">_xlfn.SWITCH(J884,
"M","Medium",
"L","Light",
"D","Dark",
"")</f>
        <v>Dark</v>
      </c>
      <c r="P884" t="str">
        <f>_xlfn.XLOOKUP(Orders[[#This Row],[Customer ID]],customers!$A$1:$A$1001,customers!$I$1:$I$1001,,0)</f>
        <v>Yes</v>
      </c>
    </row>
    <row r="885" spans="1:16" x14ac:dyDescent="0.35">
      <c r="A885" s="2" t="s">
        <v>5483</v>
      </c>
      <c r="B885" s="4">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_xlfn.XLOOKUP(D885,products!$A$1:$A$49,products!$B$1:$B$49,,0)</f>
        <v>Ara</v>
      </c>
      <c r="J885" t="str">
        <f>_xlfn.XLOOKUP(D885,products!$A$1:$A$49,products!$C$1:$C$49,,0)</f>
        <v>M</v>
      </c>
      <c r="K885" s="7">
        <f>_xlfn.XLOOKUP(D885,products!$A$1:$A$49,products!$D$1:$D$49,,0)</f>
        <v>2.5</v>
      </c>
      <c r="L885" s="9">
        <f>_xlfn.XLOOKUP(D885,products!$A$1:$A$49,products!$E$1:$E$49,,0)</f>
        <v>25.874999999999996</v>
      </c>
      <c r="M885" s="9">
        <f t="shared" si="13"/>
        <v>77.624999999999986</v>
      </c>
      <c r="N885" s="3" t="str" cm="1">
        <f t="array" ref="N885">_xlfn.SWITCH(I885,
"Rob","Robusta",
"Exc","Excelsa",
"Ara","Arabica",
"Lib","Liberica",
"")</f>
        <v>Arabica</v>
      </c>
      <c r="O885" t="str" cm="1">
        <f t="array" ref="O885">_xlfn.SWITCH(J885,
"M","Medium",
"L","Light",
"D","Dark",
"")</f>
        <v>Medium</v>
      </c>
      <c r="P885" t="str">
        <f>_xlfn.XLOOKUP(Orders[[#This Row],[Customer ID]],customers!$A$1:$A$1001,customers!$I$1:$I$1001,,0)</f>
        <v>Yes</v>
      </c>
    </row>
    <row r="886" spans="1:16" x14ac:dyDescent="0.35">
      <c r="A886" s="2" t="s">
        <v>5489</v>
      </c>
      <c r="B886" s="4">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_xlfn.XLOOKUP(D886,products!$A$1:$A$49,products!$B$1:$B$49,,0)</f>
        <v>Rob</v>
      </c>
      <c r="J886" t="str">
        <f>_xlfn.XLOOKUP(D886,products!$A$1:$A$49,products!$C$1:$C$49,,0)</f>
        <v>D</v>
      </c>
      <c r="K886" s="7">
        <f>_xlfn.XLOOKUP(D886,products!$A$1:$A$49,products!$D$1:$D$49,,0)</f>
        <v>0.5</v>
      </c>
      <c r="L886" s="9">
        <f>_xlfn.XLOOKUP(D886,products!$A$1:$A$49,products!$E$1:$E$49,,0)</f>
        <v>5.3699999999999992</v>
      </c>
      <c r="M886" s="9">
        <f t="shared" si="13"/>
        <v>5.3699999999999992</v>
      </c>
      <c r="N886" s="3" t="str" cm="1">
        <f t="array" ref="N886">_xlfn.SWITCH(I886,
"Rob","Robusta",
"Exc","Excelsa",
"Ara","Arabica",
"Lib","Liberica",
"")</f>
        <v>Robusta</v>
      </c>
      <c r="O886" t="str" cm="1">
        <f t="array" ref="O886">_xlfn.SWITCH(J886,
"M","Medium",
"L","Light",
"D","Dark",
"")</f>
        <v>Dark</v>
      </c>
      <c r="P886" t="str">
        <f>_xlfn.XLOOKUP(Orders[[#This Row],[Customer ID]],customers!$A$1:$A$1001,customers!$I$1:$I$1001,,0)</f>
        <v>Yes</v>
      </c>
    </row>
    <row r="887" spans="1:16" x14ac:dyDescent="0.35">
      <c r="A887" s="2" t="s">
        <v>5495</v>
      </c>
      <c r="B887" s="4">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_xlfn.XLOOKUP(D887,products!$A$1:$A$49,products!$B$1:$B$49,,0)</f>
        <v>Rob</v>
      </c>
      <c r="J887" t="str">
        <f>_xlfn.XLOOKUP(D887,products!$A$1:$A$49,products!$C$1:$C$49,,0)</f>
        <v>D</v>
      </c>
      <c r="K887" s="7">
        <f>_xlfn.XLOOKUP(D887,products!$A$1:$A$49,products!$D$1:$D$49,,0)</f>
        <v>2.5</v>
      </c>
      <c r="L887" s="9">
        <f>_xlfn.XLOOKUP(D887,products!$A$1:$A$49,products!$E$1:$E$49,,0)</f>
        <v>20.584999999999997</v>
      </c>
      <c r="M887" s="9">
        <f t="shared" si="13"/>
        <v>123.50999999999999</v>
      </c>
      <c r="N887" s="3" t="str" cm="1">
        <f t="array" ref="N887">_xlfn.SWITCH(I887,
"Rob","Robusta",
"Exc","Excelsa",
"Ara","Arabica",
"Lib","Liberica",
"")</f>
        <v>Robusta</v>
      </c>
      <c r="O887" t="str" cm="1">
        <f t="array" ref="O887">_xlfn.SWITCH(J887,
"M","Medium",
"L","Light",
"D","Dark",
"")</f>
        <v>Dark</v>
      </c>
      <c r="P887" t="str">
        <f>_xlfn.XLOOKUP(Orders[[#This Row],[Customer ID]],customers!$A$1:$A$1001,customers!$I$1:$I$1001,,0)</f>
        <v>No</v>
      </c>
    </row>
    <row r="888" spans="1:16" x14ac:dyDescent="0.35">
      <c r="A888" s="2" t="s">
        <v>5501</v>
      </c>
      <c r="B888" s="4">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_xlfn.XLOOKUP(D888,products!$A$1:$A$49,products!$B$1:$B$49,,0)</f>
        <v>Lib</v>
      </c>
      <c r="J888" t="str">
        <f>_xlfn.XLOOKUP(D888,products!$A$1:$A$49,products!$C$1:$C$49,,0)</f>
        <v>M</v>
      </c>
      <c r="K888" s="7">
        <f>_xlfn.XLOOKUP(D888,products!$A$1:$A$49,products!$D$1:$D$49,,0)</f>
        <v>0.5</v>
      </c>
      <c r="L888" s="9">
        <f>_xlfn.XLOOKUP(D888,products!$A$1:$A$49,products!$E$1:$E$49,,0)</f>
        <v>8.73</v>
      </c>
      <c r="M888" s="9">
        <f t="shared" si="13"/>
        <v>17.46</v>
      </c>
      <c r="N888" s="3" t="str" cm="1">
        <f t="array" ref="N888">_xlfn.SWITCH(I888,
"Rob","Robusta",
"Exc","Excelsa",
"Ara","Arabica",
"Lib","Liberica",
"")</f>
        <v>Liberica</v>
      </c>
      <c r="O888" t="str" cm="1">
        <f t="array" ref="O888">_xlfn.SWITCH(J888,
"M","Medium",
"L","Light",
"D","Dark",
"")</f>
        <v>Medium</v>
      </c>
      <c r="P888" t="str">
        <f>_xlfn.XLOOKUP(Orders[[#This Row],[Customer ID]],customers!$A$1:$A$1001,customers!$I$1:$I$1001,,0)</f>
        <v>No</v>
      </c>
    </row>
    <row r="889" spans="1:16" x14ac:dyDescent="0.35">
      <c r="A889" s="2" t="s">
        <v>5507</v>
      </c>
      <c r="B889" s="4">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_xlfn.XLOOKUP(D889,products!$A$1:$A$49,products!$B$1:$B$49,,0)</f>
        <v>Exc</v>
      </c>
      <c r="J889" t="str">
        <f>_xlfn.XLOOKUP(D889,products!$A$1:$A$49,products!$C$1:$C$49,,0)</f>
        <v>L</v>
      </c>
      <c r="K889" s="7">
        <f>_xlfn.XLOOKUP(D889,products!$A$1:$A$49,products!$D$1:$D$49,,0)</f>
        <v>0.2</v>
      </c>
      <c r="L889" s="9">
        <f>_xlfn.XLOOKUP(D889,products!$A$1:$A$49,products!$E$1:$E$49,,0)</f>
        <v>4.4550000000000001</v>
      </c>
      <c r="M889" s="9">
        <f t="shared" si="13"/>
        <v>13.365</v>
      </c>
      <c r="N889" s="3" t="str" cm="1">
        <f t="array" ref="N889">_xlfn.SWITCH(I889,
"Rob","Robusta",
"Exc","Excelsa",
"Ara","Arabica",
"Lib","Liberica",
"")</f>
        <v>Excelsa</v>
      </c>
      <c r="O889" t="str" cm="1">
        <f t="array" ref="O889">_xlfn.SWITCH(J889,
"M","Medium",
"L","Light",
"D","Dark",
"")</f>
        <v>Light</v>
      </c>
      <c r="P889" t="str">
        <f>_xlfn.XLOOKUP(Orders[[#This Row],[Customer ID]],customers!$A$1:$A$1001,customers!$I$1:$I$1001,,0)</f>
        <v>No</v>
      </c>
    </row>
    <row r="890" spans="1:16" x14ac:dyDescent="0.35">
      <c r="A890" s="2" t="s">
        <v>5513</v>
      </c>
      <c r="B890" s="4">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_xlfn.XLOOKUP(D890,products!$A$1:$A$49,products!$B$1:$B$49,,0)</f>
        <v>Ara</v>
      </c>
      <c r="J890" t="str">
        <f>_xlfn.XLOOKUP(D890,products!$A$1:$A$49,products!$C$1:$C$49,,0)</f>
        <v>L</v>
      </c>
      <c r="K890" s="7">
        <f>_xlfn.XLOOKUP(D890,products!$A$1:$A$49,products!$D$1:$D$49,,0)</f>
        <v>0.2</v>
      </c>
      <c r="L890" s="9">
        <f>_xlfn.XLOOKUP(D890,products!$A$1:$A$49,products!$E$1:$E$49,,0)</f>
        <v>3.8849999999999998</v>
      </c>
      <c r="M890" s="9">
        <f t="shared" si="13"/>
        <v>7.77</v>
      </c>
      <c r="N890" s="3" t="str" cm="1">
        <f t="array" ref="N890">_xlfn.SWITCH(I890,
"Rob","Robusta",
"Exc","Excelsa",
"Ara","Arabica",
"Lib","Liberica",
"")</f>
        <v>Arabica</v>
      </c>
      <c r="O890" t="str" cm="1">
        <f t="array" ref="O890">_xlfn.SWITCH(J890,
"M","Medium",
"L","Light",
"D","Dark",
"")</f>
        <v>Light</v>
      </c>
      <c r="P890" t="str">
        <f>_xlfn.XLOOKUP(Orders[[#This Row],[Customer ID]],customers!$A$1:$A$1001,customers!$I$1:$I$1001,,0)</f>
        <v>Yes</v>
      </c>
    </row>
    <row r="891" spans="1:16" x14ac:dyDescent="0.35">
      <c r="A891" s="2" t="s">
        <v>5519</v>
      </c>
      <c r="B891" s="4">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_xlfn.XLOOKUP(D891,products!$A$1:$A$49,products!$B$1:$B$49,,0)</f>
        <v>Rob</v>
      </c>
      <c r="J891" t="str">
        <f>_xlfn.XLOOKUP(D891,products!$A$1:$A$49,products!$C$1:$C$49,,0)</f>
        <v>D</v>
      </c>
      <c r="K891" s="7">
        <f>_xlfn.XLOOKUP(D891,products!$A$1:$A$49,products!$D$1:$D$49,,0)</f>
        <v>0.2</v>
      </c>
      <c r="L891" s="9">
        <f>_xlfn.XLOOKUP(D891,products!$A$1:$A$49,products!$E$1:$E$49,,0)</f>
        <v>2.6849999999999996</v>
      </c>
      <c r="M891" s="9">
        <f t="shared" si="13"/>
        <v>2.6849999999999996</v>
      </c>
      <c r="N891" s="3" t="str" cm="1">
        <f t="array" ref="N891">_xlfn.SWITCH(I891,
"Rob","Robusta",
"Exc","Excelsa",
"Ara","Arabica",
"Lib","Liberica",
"")</f>
        <v>Robusta</v>
      </c>
      <c r="O891" t="str" cm="1">
        <f t="array" ref="O891">_xlfn.SWITCH(J891,
"M","Medium",
"L","Light",
"D","Dark",
"")</f>
        <v>Dark</v>
      </c>
      <c r="P891" t="str">
        <f>_xlfn.XLOOKUP(Orders[[#This Row],[Customer ID]],customers!$A$1:$A$1001,customers!$I$1:$I$1001,,0)</f>
        <v>Yes</v>
      </c>
    </row>
    <row r="892" spans="1:16" x14ac:dyDescent="0.35">
      <c r="A892" s="2" t="s">
        <v>5525</v>
      </c>
      <c r="B892" s="4">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_xlfn.XLOOKUP(D892,products!$A$1:$A$49,products!$B$1:$B$49,,0)</f>
        <v>Rob</v>
      </c>
      <c r="J892" t="str">
        <f>_xlfn.XLOOKUP(D892,products!$A$1:$A$49,products!$C$1:$C$49,,0)</f>
        <v>D</v>
      </c>
      <c r="K892" s="7">
        <f>_xlfn.XLOOKUP(D892,products!$A$1:$A$49,products!$D$1:$D$49,,0)</f>
        <v>2.5</v>
      </c>
      <c r="L892" s="9">
        <f>_xlfn.XLOOKUP(D892,products!$A$1:$A$49,products!$E$1:$E$49,,0)</f>
        <v>20.584999999999997</v>
      </c>
      <c r="M892" s="9">
        <f t="shared" si="13"/>
        <v>20.584999999999997</v>
      </c>
      <c r="N892" s="3" t="str" cm="1">
        <f t="array" ref="N892">_xlfn.SWITCH(I892,
"Rob","Robusta",
"Exc","Excelsa",
"Ara","Arabica",
"Lib","Liberica",
"")</f>
        <v>Robusta</v>
      </c>
      <c r="O892" t="str" cm="1">
        <f t="array" ref="O892">_xlfn.SWITCH(J892,
"M","Medium",
"L","Light",
"D","Dark",
"")</f>
        <v>Dark</v>
      </c>
      <c r="P892" t="str">
        <f>_xlfn.XLOOKUP(Orders[[#This Row],[Customer ID]],customers!$A$1:$A$1001,customers!$I$1:$I$1001,,0)</f>
        <v>Yes</v>
      </c>
    </row>
    <row r="893" spans="1:16" x14ac:dyDescent="0.35">
      <c r="A893" s="2" t="s">
        <v>5531</v>
      </c>
      <c r="B893" s="4">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_xlfn.XLOOKUP(D893,products!$A$1:$A$49,products!$B$1:$B$49,,0)</f>
        <v>Ara</v>
      </c>
      <c r="J893" t="str">
        <f>_xlfn.XLOOKUP(D893,products!$A$1:$A$49,products!$C$1:$C$49,,0)</f>
        <v>D</v>
      </c>
      <c r="K893" s="7">
        <f>_xlfn.XLOOKUP(D893,products!$A$1:$A$49,products!$D$1:$D$49,,0)</f>
        <v>2.5</v>
      </c>
      <c r="L893" s="9">
        <f>_xlfn.XLOOKUP(D893,products!$A$1:$A$49,products!$E$1:$E$49,,0)</f>
        <v>22.884999999999998</v>
      </c>
      <c r="M893" s="9">
        <f t="shared" si="13"/>
        <v>114.42499999999998</v>
      </c>
      <c r="N893" s="3" t="str" cm="1">
        <f t="array" ref="N893">_xlfn.SWITCH(I893,
"Rob","Robusta",
"Exc","Excelsa",
"Ara","Arabica",
"Lib","Liberica",
"")</f>
        <v>Arabica</v>
      </c>
      <c r="O893" t="str" cm="1">
        <f t="array" ref="O893">_xlfn.SWITCH(J893,
"M","Medium",
"L","Light",
"D","Dark",
"")</f>
        <v>Dark</v>
      </c>
      <c r="P893" t="str">
        <f>_xlfn.XLOOKUP(Orders[[#This Row],[Customer ID]],customers!$A$1:$A$1001,customers!$I$1:$I$1001,,0)</f>
        <v>Yes</v>
      </c>
    </row>
    <row r="894" spans="1:16" x14ac:dyDescent="0.35">
      <c r="A894" s="2" t="s">
        <v>5537</v>
      </c>
      <c r="B894" s="4">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_xlfn.XLOOKUP(D894,products!$A$1:$A$49,products!$B$1:$B$49,,0)</f>
        <v>Exc</v>
      </c>
      <c r="J894" t="str">
        <f>_xlfn.XLOOKUP(D894,products!$A$1:$A$49,products!$C$1:$C$49,,0)</f>
        <v>M</v>
      </c>
      <c r="K894" s="7">
        <f>_xlfn.XLOOKUP(D894,products!$A$1:$A$49,products!$D$1:$D$49,,0)</f>
        <v>0.2</v>
      </c>
      <c r="L894" s="9">
        <f>_xlfn.XLOOKUP(D894,products!$A$1:$A$49,products!$E$1:$E$49,,0)</f>
        <v>4.125</v>
      </c>
      <c r="M894" s="9">
        <f t="shared" si="13"/>
        <v>20.625</v>
      </c>
      <c r="N894" s="3" t="str" cm="1">
        <f t="array" ref="N894">_xlfn.SWITCH(I894,
"Rob","Robusta",
"Exc","Excelsa",
"Ara","Arabica",
"Lib","Liberica",
"")</f>
        <v>Excelsa</v>
      </c>
      <c r="O894" t="str" cm="1">
        <f t="array" ref="O894">_xlfn.SWITCH(J894,
"M","Medium",
"L","Light",
"D","Dark",
"")</f>
        <v>Medium</v>
      </c>
      <c r="P894" t="str">
        <f>_xlfn.XLOOKUP(Orders[[#This Row],[Customer ID]],customers!$A$1:$A$1001,customers!$I$1:$I$1001,,0)</f>
        <v>No</v>
      </c>
    </row>
    <row r="895" spans="1:16" x14ac:dyDescent="0.35">
      <c r="A895" s="2" t="s">
        <v>5543</v>
      </c>
      <c r="B895" s="4">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_xlfn.XLOOKUP(D895,products!$A$1:$A$49,products!$B$1:$B$49,,0)</f>
        <v>Lib</v>
      </c>
      <c r="J895" t="str">
        <f>_xlfn.XLOOKUP(D895,products!$A$1:$A$49,products!$C$1:$C$49,,0)</f>
        <v>L</v>
      </c>
      <c r="K895" s="7">
        <f>_xlfn.XLOOKUP(D895,products!$A$1:$A$49,products!$D$1:$D$49,,0)</f>
        <v>0.5</v>
      </c>
      <c r="L895" s="9">
        <f>_xlfn.XLOOKUP(D895,products!$A$1:$A$49,products!$E$1:$E$49,,0)</f>
        <v>9.51</v>
      </c>
      <c r="M895" s="9">
        <f t="shared" si="13"/>
        <v>57.06</v>
      </c>
      <c r="N895" s="3" t="str" cm="1">
        <f t="array" ref="N895">_xlfn.SWITCH(I895,
"Rob","Robusta",
"Exc","Excelsa",
"Ara","Arabica",
"Lib","Liberica",
"")</f>
        <v>Liberica</v>
      </c>
      <c r="O895" t="str" cm="1">
        <f t="array" ref="O895">_xlfn.SWITCH(J895,
"M","Medium",
"L","Light",
"D","Dark",
"")</f>
        <v>Light</v>
      </c>
      <c r="P895" t="str">
        <f>_xlfn.XLOOKUP(Orders[[#This Row],[Customer ID]],customers!$A$1:$A$1001,customers!$I$1:$I$1001,,0)</f>
        <v>Yes</v>
      </c>
    </row>
    <row r="896" spans="1:16" x14ac:dyDescent="0.35">
      <c r="A896" s="2" t="s">
        <v>5548</v>
      </c>
      <c r="B896" s="4">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_xlfn.XLOOKUP(D896,products!$A$1:$A$49,products!$B$1:$B$49,,0)</f>
        <v>Rob</v>
      </c>
      <c r="J896" t="str">
        <f>_xlfn.XLOOKUP(D896,products!$A$1:$A$49,products!$C$1:$C$49,,0)</f>
        <v>D</v>
      </c>
      <c r="K896" s="7">
        <f>_xlfn.XLOOKUP(D896,products!$A$1:$A$49,products!$D$1:$D$49,,0)</f>
        <v>2.5</v>
      </c>
      <c r="L896" s="9">
        <f>_xlfn.XLOOKUP(D896,products!$A$1:$A$49,products!$E$1:$E$49,,0)</f>
        <v>20.584999999999997</v>
      </c>
      <c r="M896" s="9">
        <f t="shared" si="13"/>
        <v>82.339999999999989</v>
      </c>
      <c r="N896" s="3" t="str" cm="1">
        <f t="array" ref="N896">_xlfn.SWITCH(I896,
"Rob","Robusta",
"Exc","Excelsa",
"Ara","Arabica",
"Lib","Liberica",
"")</f>
        <v>Robusta</v>
      </c>
      <c r="O896" t="str" cm="1">
        <f t="array" ref="O896">_xlfn.SWITCH(J896,
"M","Medium",
"L","Light",
"D","Dark",
"")</f>
        <v>Dark</v>
      </c>
      <c r="P896" t="str">
        <f>_xlfn.XLOOKUP(Orders[[#This Row],[Customer ID]],customers!$A$1:$A$1001,customers!$I$1:$I$1001,,0)</f>
        <v>Yes</v>
      </c>
    </row>
    <row r="897" spans="1:16" x14ac:dyDescent="0.35">
      <c r="A897" s="2" t="s">
        <v>5553</v>
      </c>
      <c r="B897" s="4">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_xlfn.XLOOKUP(D897,products!$A$1:$A$49,products!$B$1:$B$49,,0)</f>
        <v>Exc</v>
      </c>
      <c r="J897" t="str">
        <f>_xlfn.XLOOKUP(D897,products!$A$1:$A$49,products!$C$1:$C$49,,0)</f>
        <v>M</v>
      </c>
      <c r="K897" s="7">
        <f>_xlfn.XLOOKUP(D897,products!$A$1:$A$49,products!$D$1:$D$49,,0)</f>
        <v>2.5</v>
      </c>
      <c r="L897" s="9">
        <f>_xlfn.XLOOKUP(D897,products!$A$1:$A$49,products!$E$1:$E$49,,0)</f>
        <v>31.624999999999996</v>
      </c>
      <c r="M897" s="9">
        <f t="shared" si="13"/>
        <v>158.12499999999997</v>
      </c>
      <c r="N897" s="3" t="str" cm="1">
        <f t="array" ref="N897">_xlfn.SWITCH(I897,
"Rob","Robusta",
"Exc","Excelsa",
"Ara","Arabica",
"Lib","Liberica",
"")</f>
        <v>Excelsa</v>
      </c>
      <c r="O897" t="str" cm="1">
        <f t="array" ref="O897">_xlfn.SWITCH(J897,
"M","Medium",
"L","Light",
"D","Dark",
"")</f>
        <v>Medium</v>
      </c>
      <c r="P897" t="str">
        <f>_xlfn.XLOOKUP(Orders[[#This Row],[Customer ID]],customers!$A$1:$A$1001,customers!$I$1:$I$1001,,0)</f>
        <v>No</v>
      </c>
    </row>
    <row r="898" spans="1:16" x14ac:dyDescent="0.35">
      <c r="A898" s="2" t="s">
        <v>5558</v>
      </c>
      <c r="B898" s="4">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_xlfn.XLOOKUP(D898,products!$A$1:$A$49,products!$B$1:$B$49,,0)</f>
        <v>Rob</v>
      </c>
      <c r="J898" t="str">
        <f>_xlfn.XLOOKUP(D898,products!$A$1:$A$49,products!$C$1:$C$49,,0)</f>
        <v>D</v>
      </c>
      <c r="K898" s="7">
        <f>_xlfn.XLOOKUP(D898,products!$A$1:$A$49,products!$D$1:$D$49,,0)</f>
        <v>0.5</v>
      </c>
      <c r="L898" s="9">
        <f>_xlfn.XLOOKUP(D898,products!$A$1:$A$49,products!$E$1:$E$49,,0)</f>
        <v>5.3699999999999992</v>
      </c>
      <c r="M898" s="9">
        <f t="shared" si="13"/>
        <v>32.22</v>
      </c>
      <c r="N898" s="3" t="str" cm="1">
        <f t="array" ref="N898">_xlfn.SWITCH(I898,
"Rob","Robusta",
"Exc","Excelsa",
"Ara","Arabica",
"Lib","Liberica",
"")</f>
        <v>Robusta</v>
      </c>
      <c r="O898" t="str" cm="1">
        <f t="array" ref="O898">_xlfn.SWITCH(J898,
"M","Medium",
"L","Light",
"D","Dark",
"")</f>
        <v>Dark</v>
      </c>
      <c r="P898" t="str">
        <f>_xlfn.XLOOKUP(Orders[[#This Row],[Customer ID]],customers!$A$1:$A$1001,customers!$I$1:$I$1001,,0)</f>
        <v>Yes</v>
      </c>
    </row>
    <row r="899" spans="1:16" x14ac:dyDescent="0.35">
      <c r="A899" s="2" t="s">
        <v>5564</v>
      </c>
      <c r="B899" s="4">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_xlfn.XLOOKUP(D899,products!$A$1:$A$49,products!$B$1:$B$49,,0)</f>
        <v>Exc</v>
      </c>
      <c r="J899" t="str">
        <f>_xlfn.XLOOKUP(D899,products!$A$1:$A$49,products!$C$1:$C$49,,0)</f>
        <v>D</v>
      </c>
      <c r="K899" s="7">
        <f>_xlfn.XLOOKUP(D899,products!$A$1:$A$49,products!$D$1:$D$49,,0)</f>
        <v>1</v>
      </c>
      <c r="L899" s="9">
        <f>_xlfn.XLOOKUP(D899,products!$A$1:$A$49,products!$E$1:$E$49,,0)</f>
        <v>12.15</v>
      </c>
      <c r="M899" s="9">
        <f t="shared" ref="M899:M962" si="14">L899*E899</f>
        <v>24.3</v>
      </c>
      <c r="N899" s="3" t="str" cm="1">
        <f t="array" ref="N899">_xlfn.SWITCH(I899,
"Rob","Robusta",
"Exc","Excelsa",
"Ara","Arabica",
"Lib","Liberica",
"")</f>
        <v>Excelsa</v>
      </c>
      <c r="O899" t="str" cm="1">
        <f t="array" ref="O899">_xlfn.SWITCH(J899,
"M","Medium",
"L","Light",
"D","Dark",
"")</f>
        <v>Dark</v>
      </c>
      <c r="P899" t="str">
        <f>_xlfn.XLOOKUP(Orders[[#This Row],[Customer ID]],customers!$A$1:$A$1001,customers!$I$1:$I$1001,,0)</f>
        <v>No</v>
      </c>
    </row>
    <row r="900" spans="1:16" x14ac:dyDescent="0.35">
      <c r="A900" s="2" t="s">
        <v>5570</v>
      </c>
      <c r="B900" s="4">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_xlfn.XLOOKUP(D900,products!$A$1:$A$49,products!$B$1:$B$49,,0)</f>
        <v>Rob</v>
      </c>
      <c r="J900" t="str">
        <f>_xlfn.XLOOKUP(D900,products!$A$1:$A$49,products!$C$1:$C$49,,0)</f>
        <v>L</v>
      </c>
      <c r="K900" s="7">
        <f>_xlfn.XLOOKUP(D900,products!$A$1:$A$49,products!$D$1:$D$49,,0)</f>
        <v>0.5</v>
      </c>
      <c r="L900" s="9">
        <f>_xlfn.XLOOKUP(D900,products!$A$1:$A$49,products!$E$1:$E$49,,0)</f>
        <v>7.169999999999999</v>
      </c>
      <c r="M900" s="9">
        <f t="shared" si="14"/>
        <v>35.849999999999994</v>
      </c>
      <c r="N900" s="3" t="str" cm="1">
        <f t="array" ref="N900">_xlfn.SWITCH(I900,
"Rob","Robusta",
"Exc","Excelsa",
"Ara","Arabica",
"Lib","Liberica",
"")</f>
        <v>Robusta</v>
      </c>
      <c r="O900" t="str" cm="1">
        <f t="array" ref="O900">_xlfn.SWITCH(J900,
"M","Medium",
"L","Light",
"D","Dark",
"")</f>
        <v>Light</v>
      </c>
      <c r="P900" t="str">
        <f>_xlfn.XLOOKUP(Orders[[#This Row],[Customer ID]],customers!$A$1:$A$1001,customers!$I$1:$I$1001,,0)</f>
        <v>No</v>
      </c>
    </row>
    <row r="901" spans="1:16" x14ac:dyDescent="0.35">
      <c r="A901" s="2" t="s">
        <v>5575</v>
      </c>
      <c r="B901" s="4">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_xlfn.XLOOKUP(D901,products!$A$1:$A$49,products!$B$1:$B$49,,0)</f>
        <v>Lib</v>
      </c>
      <c r="J901" t="str">
        <f>_xlfn.XLOOKUP(D901,products!$A$1:$A$49,products!$C$1:$C$49,,0)</f>
        <v>M</v>
      </c>
      <c r="K901" s="7">
        <f>_xlfn.XLOOKUP(D901,products!$A$1:$A$49,products!$D$1:$D$49,,0)</f>
        <v>1</v>
      </c>
      <c r="L901" s="9">
        <f>_xlfn.XLOOKUP(D901,products!$A$1:$A$49,products!$E$1:$E$49,,0)</f>
        <v>14.55</v>
      </c>
      <c r="M901" s="9">
        <f t="shared" si="14"/>
        <v>72.75</v>
      </c>
      <c r="N901" s="3" t="str" cm="1">
        <f t="array" ref="N901">_xlfn.SWITCH(I901,
"Rob","Robusta",
"Exc","Excelsa",
"Ara","Arabica",
"Lib","Liberica",
"")</f>
        <v>Liberica</v>
      </c>
      <c r="O901" t="str" cm="1">
        <f t="array" ref="O901">_xlfn.SWITCH(J901,
"M","Medium",
"L","Light",
"D","Dark",
"")</f>
        <v>Medium</v>
      </c>
      <c r="P901" t="str">
        <f>_xlfn.XLOOKUP(Orders[[#This Row],[Customer ID]],customers!$A$1:$A$1001,customers!$I$1:$I$1001,,0)</f>
        <v>No</v>
      </c>
    </row>
    <row r="902" spans="1:16" x14ac:dyDescent="0.35">
      <c r="A902" s="2" t="s">
        <v>5580</v>
      </c>
      <c r="B902" s="4">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_xlfn.XLOOKUP(D902,products!$A$1:$A$49,products!$B$1:$B$49,,0)</f>
        <v>Lib</v>
      </c>
      <c r="J902" t="str">
        <f>_xlfn.XLOOKUP(D902,products!$A$1:$A$49,products!$C$1:$C$49,,0)</f>
        <v>L</v>
      </c>
      <c r="K902" s="7">
        <f>_xlfn.XLOOKUP(D902,products!$A$1:$A$49,products!$D$1:$D$49,,0)</f>
        <v>1</v>
      </c>
      <c r="L902" s="9">
        <f>_xlfn.XLOOKUP(D902,products!$A$1:$A$49,products!$E$1:$E$49,,0)</f>
        <v>15.85</v>
      </c>
      <c r="M902" s="9">
        <f t="shared" si="14"/>
        <v>47.55</v>
      </c>
      <c r="N902" s="3" t="str" cm="1">
        <f t="array" ref="N902">_xlfn.SWITCH(I902,
"Rob","Robusta",
"Exc","Excelsa",
"Ara","Arabica",
"Lib","Liberica",
"")</f>
        <v>Liberica</v>
      </c>
      <c r="O902" t="str" cm="1">
        <f t="array" ref="O902">_xlfn.SWITCH(J902,
"M","Medium",
"L","Light",
"D","Dark",
"")</f>
        <v>Light</v>
      </c>
      <c r="P902" t="str">
        <f>_xlfn.XLOOKUP(Orders[[#This Row],[Customer ID]],customers!$A$1:$A$1001,customers!$I$1:$I$1001,,0)</f>
        <v>No</v>
      </c>
    </row>
    <row r="903" spans="1:16" x14ac:dyDescent="0.35">
      <c r="A903" s="2" t="s">
        <v>5585</v>
      </c>
      <c r="B903" s="4">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_xlfn.XLOOKUP(D903,products!$A$1:$A$49,products!$B$1:$B$49,,0)</f>
        <v>Rob</v>
      </c>
      <c r="J903" t="str">
        <f>_xlfn.XLOOKUP(D903,products!$A$1:$A$49,products!$C$1:$C$49,,0)</f>
        <v>L</v>
      </c>
      <c r="K903" s="7">
        <f>_xlfn.XLOOKUP(D903,products!$A$1:$A$49,products!$D$1:$D$49,,0)</f>
        <v>0.2</v>
      </c>
      <c r="L903" s="9">
        <f>_xlfn.XLOOKUP(D903,products!$A$1:$A$49,products!$E$1:$E$49,,0)</f>
        <v>3.5849999999999995</v>
      </c>
      <c r="M903" s="9">
        <f t="shared" si="14"/>
        <v>3.5849999999999995</v>
      </c>
      <c r="N903" s="3" t="str" cm="1">
        <f t="array" ref="N903">_xlfn.SWITCH(I903,
"Rob","Robusta",
"Exc","Excelsa",
"Ara","Arabica",
"Lib","Liberica",
"")</f>
        <v>Robusta</v>
      </c>
      <c r="O903" t="str" cm="1">
        <f t="array" ref="O903">_xlfn.SWITCH(J903,
"M","Medium",
"L","Light",
"D","Dark",
"")</f>
        <v>Light</v>
      </c>
      <c r="P903" t="str">
        <f>_xlfn.XLOOKUP(Orders[[#This Row],[Customer ID]],customers!$A$1:$A$1001,customers!$I$1:$I$1001,,0)</f>
        <v>Yes</v>
      </c>
    </row>
    <row r="904" spans="1:16" x14ac:dyDescent="0.35">
      <c r="A904" s="2" t="s">
        <v>5591</v>
      </c>
      <c r="B904" s="4">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_xlfn.XLOOKUP(D904,products!$A$1:$A$49,products!$B$1:$B$49,,0)</f>
        <v>Exc</v>
      </c>
      <c r="J904" t="str">
        <f>_xlfn.XLOOKUP(D904,products!$A$1:$A$49,products!$C$1:$C$49,,0)</f>
        <v>M</v>
      </c>
      <c r="K904" s="7">
        <f>_xlfn.XLOOKUP(D904,products!$A$1:$A$49,products!$D$1:$D$49,,0)</f>
        <v>2.5</v>
      </c>
      <c r="L904" s="9">
        <f>_xlfn.XLOOKUP(D904,products!$A$1:$A$49,products!$E$1:$E$49,,0)</f>
        <v>31.624999999999996</v>
      </c>
      <c r="M904" s="9">
        <f t="shared" si="14"/>
        <v>158.12499999999997</v>
      </c>
      <c r="N904" s="3" t="str" cm="1">
        <f t="array" ref="N904">_xlfn.SWITCH(I904,
"Rob","Robusta",
"Exc","Excelsa",
"Ara","Arabica",
"Lib","Liberica",
"")</f>
        <v>Excelsa</v>
      </c>
      <c r="O904" t="str" cm="1">
        <f t="array" ref="O904">_xlfn.SWITCH(J904,
"M","Medium",
"L","Light",
"D","Dark",
"")</f>
        <v>Medium</v>
      </c>
      <c r="P904" t="str">
        <f>_xlfn.XLOOKUP(Orders[[#This Row],[Customer ID]],customers!$A$1:$A$1001,customers!$I$1:$I$1001,,0)</f>
        <v>No</v>
      </c>
    </row>
    <row r="905" spans="1:16" x14ac:dyDescent="0.35">
      <c r="A905" s="2" t="s">
        <v>5597</v>
      </c>
      <c r="B905" s="4">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_xlfn.XLOOKUP(D905,products!$A$1:$A$49,products!$B$1:$B$49,,0)</f>
        <v>Lib</v>
      </c>
      <c r="J905" t="str">
        <f>_xlfn.XLOOKUP(D905,products!$A$1:$A$49,products!$C$1:$C$49,,0)</f>
        <v>M</v>
      </c>
      <c r="K905" s="7">
        <f>_xlfn.XLOOKUP(D905,products!$A$1:$A$49,products!$D$1:$D$49,,0)</f>
        <v>0.5</v>
      </c>
      <c r="L905" s="9">
        <f>_xlfn.XLOOKUP(D905,products!$A$1:$A$49,products!$E$1:$E$49,,0)</f>
        <v>8.73</v>
      </c>
      <c r="M905" s="9">
        <f t="shared" si="14"/>
        <v>17.46</v>
      </c>
      <c r="N905" s="3" t="str" cm="1">
        <f t="array" ref="N905">_xlfn.SWITCH(I905,
"Rob","Robusta",
"Exc","Excelsa",
"Ara","Arabica",
"Lib","Liberica",
"")</f>
        <v>Liberica</v>
      </c>
      <c r="O905" t="str" cm="1">
        <f t="array" ref="O905">_xlfn.SWITCH(J905,
"M","Medium",
"L","Light",
"D","Dark",
"")</f>
        <v>Medium</v>
      </c>
      <c r="P905" t="str">
        <f>_xlfn.XLOOKUP(Orders[[#This Row],[Customer ID]],customers!$A$1:$A$1001,customers!$I$1:$I$1001,,0)</f>
        <v>No</v>
      </c>
    </row>
    <row r="906" spans="1:16" x14ac:dyDescent="0.35">
      <c r="A906" s="2" t="s">
        <v>5603</v>
      </c>
      <c r="B906" s="4">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_xlfn.XLOOKUP(D906,products!$A$1:$A$49,products!$B$1:$B$49,,0)</f>
        <v>Ara</v>
      </c>
      <c r="J906" t="str">
        <f>_xlfn.XLOOKUP(D906,products!$A$1:$A$49,products!$C$1:$C$49,,0)</f>
        <v>L</v>
      </c>
      <c r="K906" s="7">
        <f>_xlfn.XLOOKUP(D906,products!$A$1:$A$49,products!$D$1:$D$49,,0)</f>
        <v>2.5</v>
      </c>
      <c r="L906" s="9">
        <f>_xlfn.XLOOKUP(D906,products!$A$1:$A$49,products!$E$1:$E$49,,0)</f>
        <v>29.784999999999997</v>
      </c>
      <c r="M906" s="9">
        <f t="shared" si="14"/>
        <v>148.92499999999998</v>
      </c>
      <c r="N906" s="3" t="str" cm="1">
        <f t="array" ref="N906">_xlfn.SWITCH(I906,
"Rob","Robusta",
"Exc","Excelsa",
"Ara","Arabica",
"Lib","Liberica",
"")</f>
        <v>Arabica</v>
      </c>
      <c r="O906" t="str" cm="1">
        <f t="array" ref="O906">_xlfn.SWITCH(J906,
"M","Medium",
"L","Light",
"D","Dark",
"")</f>
        <v>Light</v>
      </c>
      <c r="P906" t="str">
        <f>_xlfn.XLOOKUP(Orders[[#This Row],[Customer ID]],customers!$A$1:$A$1001,customers!$I$1:$I$1001,,0)</f>
        <v>No</v>
      </c>
    </row>
    <row r="907" spans="1:16" x14ac:dyDescent="0.35">
      <c r="A907" s="2" t="s">
        <v>5609</v>
      </c>
      <c r="B907" s="4">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_xlfn.XLOOKUP(D907,products!$A$1:$A$49,products!$B$1:$B$49,,0)</f>
        <v>Ara</v>
      </c>
      <c r="J907" t="str">
        <f>_xlfn.XLOOKUP(D907,products!$A$1:$A$49,products!$C$1:$C$49,,0)</f>
        <v>M</v>
      </c>
      <c r="K907" s="7">
        <f>_xlfn.XLOOKUP(D907,products!$A$1:$A$49,products!$D$1:$D$49,,0)</f>
        <v>0.5</v>
      </c>
      <c r="L907" s="9">
        <f>_xlfn.XLOOKUP(D907,products!$A$1:$A$49,products!$E$1:$E$49,,0)</f>
        <v>6.75</v>
      </c>
      <c r="M907" s="9">
        <f t="shared" si="14"/>
        <v>40.5</v>
      </c>
      <c r="N907" s="3" t="str" cm="1">
        <f t="array" ref="N907">_xlfn.SWITCH(I907,
"Rob","Robusta",
"Exc","Excelsa",
"Ara","Arabica",
"Lib","Liberica",
"")</f>
        <v>Arabica</v>
      </c>
      <c r="O907" t="str" cm="1">
        <f t="array" ref="O907">_xlfn.SWITCH(J907,
"M","Medium",
"L","Light",
"D","Dark",
"")</f>
        <v>Medium</v>
      </c>
      <c r="P907" t="str">
        <f>_xlfn.XLOOKUP(Orders[[#This Row],[Customer ID]],customers!$A$1:$A$1001,customers!$I$1:$I$1001,,0)</f>
        <v>Yes</v>
      </c>
    </row>
    <row r="908" spans="1:16" x14ac:dyDescent="0.35">
      <c r="A908" s="2" t="s">
        <v>5614</v>
      </c>
      <c r="B908" s="4">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_xlfn.XLOOKUP(D908,products!$A$1:$A$49,products!$B$1:$B$49,,0)</f>
        <v>Ara</v>
      </c>
      <c r="J908" t="str">
        <f>_xlfn.XLOOKUP(D908,products!$A$1:$A$49,products!$C$1:$C$49,,0)</f>
        <v>M</v>
      </c>
      <c r="K908" s="7">
        <f>_xlfn.XLOOKUP(D908,products!$A$1:$A$49,products!$D$1:$D$49,,0)</f>
        <v>0.5</v>
      </c>
      <c r="L908" s="9">
        <f>_xlfn.XLOOKUP(D908,products!$A$1:$A$49,products!$E$1:$E$49,,0)</f>
        <v>6.75</v>
      </c>
      <c r="M908" s="9">
        <f t="shared" si="14"/>
        <v>27</v>
      </c>
      <c r="N908" s="3" t="str" cm="1">
        <f t="array" ref="N908">_xlfn.SWITCH(I908,
"Rob","Robusta",
"Exc","Excelsa",
"Ara","Arabica",
"Lib","Liberica",
"")</f>
        <v>Arabica</v>
      </c>
      <c r="O908" t="str" cm="1">
        <f t="array" ref="O908">_xlfn.SWITCH(J908,
"M","Medium",
"L","Light",
"D","Dark",
"")</f>
        <v>Medium</v>
      </c>
      <c r="P908" t="str">
        <f>_xlfn.XLOOKUP(Orders[[#This Row],[Customer ID]],customers!$A$1:$A$1001,customers!$I$1:$I$1001,,0)</f>
        <v>Yes</v>
      </c>
    </row>
    <row r="909" spans="1:16" x14ac:dyDescent="0.35">
      <c r="A909" s="2" t="s">
        <v>5620</v>
      </c>
      <c r="B909" s="4">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_xlfn.XLOOKUP(D909,products!$A$1:$A$49,products!$B$1:$B$49,,0)</f>
        <v>Lib</v>
      </c>
      <c r="J909" t="str">
        <f>_xlfn.XLOOKUP(D909,products!$A$1:$A$49,products!$C$1:$C$49,,0)</f>
        <v>D</v>
      </c>
      <c r="K909" s="7">
        <f>_xlfn.XLOOKUP(D909,products!$A$1:$A$49,products!$D$1:$D$49,,0)</f>
        <v>1</v>
      </c>
      <c r="L909" s="9">
        <f>_xlfn.XLOOKUP(D909,products!$A$1:$A$49,products!$E$1:$E$49,,0)</f>
        <v>12.95</v>
      </c>
      <c r="M909" s="9">
        <f t="shared" si="14"/>
        <v>38.849999999999994</v>
      </c>
      <c r="N909" s="3" t="str" cm="1">
        <f t="array" ref="N909">_xlfn.SWITCH(I909,
"Rob","Robusta",
"Exc","Excelsa",
"Ara","Arabica",
"Lib","Liberica",
"")</f>
        <v>Liberica</v>
      </c>
      <c r="O909" t="str" cm="1">
        <f t="array" ref="O909">_xlfn.SWITCH(J909,
"M","Medium",
"L","Light",
"D","Dark",
"")</f>
        <v>Dark</v>
      </c>
      <c r="P909" t="str">
        <f>_xlfn.XLOOKUP(Orders[[#This Row],[Customer ID]],customers!$A$1:$A$1001,customers!$I$1:$I$1001,,0)</f>
        <v>No</v>
      </c>
    </row>
    <row r="910" spans="1:16" x14ac:dyDescent="0.35">
      <c r="A910" s="2" t="s">
        <v>5626</v>
      </c>
      <c r="B910" s="4">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_xlfn.XLOOKUP(D910,products!$A$1:$A$49,products!$B$1:$B$49,,0)</f>
        <v>Rob</v>
      </c>
      <c r="J910" t="str">
        <f>_xlfn.XLOOKUP(D910,products!$A$1:$A$49,products!$C$1:$C$49,,0)</f>
        <v>L</v>
      </c>
      <c r="K910" s="7">
        <f>_xlfn.XLOOKUP(D910,products!$A$1:$A$49,products!$D$1:$D$49,,0)</f>
        <v>1</v>
      </c>
      <c r="L910" s="9">
        <f>_xlfn.XLOOKUP(D910,products!$A$1:$A$49,products!$E$1:$E$49,,0)</f>
        <v>11.95</v>
      </c>
      <c r="M910" s="9">
        <f t="shared" si="14"/>
        <v>59.75</v>
      </c>
      <c r="N910" s="3" t="str" cm="1">
        <f t="array" ref="N910">_xlfn.SWITCH(I910,
"Rob","Robusta",
"Exc","Excelsa",
"Ara","Arabica",
"Lib","Liberica",
"")</f>
        <v>Robusta</v>
      </c>
      <c r="O910" t="str" cm="1">
        <f t="array" ref="O910">_xlfn.SWITCH(J910,
"M","Medium",
"L","Light",
"D","Dark",
"")</f>
        <v>Light</v>
      </c>
      <c r="P910" t="str">
        <f>_xlfn.XLOOKUP(Orders[[#This Row],[Customer ID]],customers!$A$1:$A$1001,customers!$I$1:$I$1001,,0)</f>
        <v>No</v>
      </c>
    </row>
    <row r="911" spans="1:16" x14ac:dyDescent="0.35">
      <c r="A911" s="2" t="s">
        <v>5632</v>
      </c>
      <c r="B911" s="4">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_xlfn.XLOOKUP(D911,products!$A$1:$A$49,products!$B$1:$B$49,,0)</f>
        <v>Rob</v>
      </c>
      <c r="J911" t="str">
        <f>_xlfn.XLOOKUP(D911,products!$A$1:$A$49,products!$C$1:$C$49,,0)</f>
        <v>L</v>
      </c>
      <c r="K911" s="7">
        <f>_xlfn.XLOOKUP(D911,products!$A$1:$A$49,products!$D$1:$D$49,,0)</f>
        <v>0.2</v>
      </c>
      <c r="L911" s="9">
        <f>_xlfn.XLOOKUP(D911,products!$A$1:$A$49,products!$E$1:$E$49,,0)</f>
        <v>3.5849999999999995</v>
      </c>
      <c r="M911" s="9">
        <f t="shared" si="14"/>
        <v>10.754999999999999</v>
      </c>
      <c r="N911" s="3" t="str" cm="1">
        <f t="array" ref="N911">_xlfn.SWITCH(I911,
"Rob","Robusta",
"Exc","Excelsa",
"Ara","Arabica",
"Lib","Liberica",
"")</f>
        <v>Robusta</v>
      </c>
      <c r="O911" t="str" cm="1">
        <f t="array" ref="O911">_xlfn.SWITCH(J911,
"M","Medium",
"L","Light",
"D","Dark",
"")</f>
        <v>Light</v>
      </c>
      <c r="P911" t="str">
        <f>_xlfn.XLOOKUP(Orders[[#This Row],[Customer ID]],customers!$A$1:$A$1001,customers!$I$1:$I$1001,,0)</f>
        <v>No</v>
      </c>
    </row>
    <row r="912" spans="1:16" x14ac:dyDescent="0.35">
      <c r="A912" s="2" t="s">
        <v>5637</v>
      </c>
      <c r="B912" s="4">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_xlfn.XLOOKUP(D912,products!$A$1:$A$49,products!$B$1:$B$49,,0)</f>
        <v>Ara</v>
      </c>
      <c r="J912" t="str">
        <f>_xlfn.XLOOKUP(D912,products!$A$1:$A$49,products!$C$1:$C$49,,0)</f>
        <v>D</v>
      </c>
      <c r="K912" s="7">
        <f>_xlfn.XLOOKUP(D912,products!$A$1:$A$49,products!$D$1:$D$49,,0)</f>
        <v>2.5</v>
      </c>
      <c r="L912" s="9">
        <f>_xlfn.XLOOKUP(D912,products!$A$1:$A$49,products!$E$1:$E$49,,0)</f>
        <v>22.884999999999998</v>
      </c>
      <c r="M912" s="9">
        <f t="shared" si="14"/>
        <v>91.539999999999992</v>
      </c>
      <c r="N912" s="3" t="str" cm="1">
        <f t="array" ref="N912">_xlfn.SWITCH(I912,
"Rob","Robusta",
"Exc","Excelsa",
"Ara","Arabica",
"Lib","Liberica",
"")</f>
        <v>Arabica</v>
      </c>
      <c r="O912" t="str" cm="1">
        <f t="array" ref="O912">_xlfn.SWITCH(J912,
"M","Medium",
"L","Light",
"D","Dark",
"")</f>
        <v>Dark</v>
      </c>
      <c r="P912" t="str">
        <f>_xlfn.XLOOKUP(Orders[[#This Row],[Customer ID]],customers!$A$1:$A$1001,customers!$I$1:$I$1001,,0)</f>
        <v>No</v>
      </c>
    </row>
    <row r="913" spans="1:16" x14ac:dyDescent="0.35">
      <c r="A913" s="2" t="s">
        <v>5643</v>
      </c>
      <c r="B913" s="4">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_xlfn.XLOOKUP(D913,products!$A$1:$A$49,products!$B$1:$B$49,,0)</f>
        <v>Ara</v>
      </c>
      <c r="J913" t="str">
        <f>_xlfn.XLOOKUP(D913,products!$A$1:$A$49,products!$C$1:$C$49,,0)</f>
        <v>M</v>
      </c>
      <c r="K913" s="7">
        <f>_xlfn.XLOOKUP(D913,products!$A$1:$A$49,products!$D$1:$D$49,,0)</f>
        <v>1</v>
      </c>
      <c r="L913" s="9">
        <f>_xlfn.XLOOKUP(D913,products!$A$1:$A$49,products!$E$1:$E$49,,0)</f>
        <v>11.25</v>
      </c>
      <c r="M913" s="9">
        <f t="shared" si="14"/>
        <v>45</v>
      </c>
      <c r="N913" s="3" t="str" cm="1">
        <f t="array" ref="N913">_xlfn.SWITCH(I913,
"Rob","Robusta",
"Exc","Excelsa",
"Ara","Arabica",
"Lib","Liberica",
"")</f>
        <v>Arabica</v>
      </c>
      <c r="O913" t="str" cm="1">
        <f t="array" ref="O913">_xlfn.SWITCH(J913,
"M","Medium",
"L","Light",
"D","Dark",
"")</f>
        <v>Medium</v>
      </c>
      <c r="P913" t="str">
        <f>_xlfn.XLOOKUP(Orders[[#This Row],[Customer ID]],customers!$A$1:$A$1001,customers!$I$1:$I$1001,,0)</f>
        <v>Yes</v>
      </c>
    </row>
    <row r="914" spans="1:16" x14ac:dyDescent="0.35">
      <c r="A914" s="2" t="s">
        <v>5649</v>
      </c>
      <c r="B914" s="4">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_xlfn.XLOOKUP(D914,products!$A$1:$A$49,products!$B$1:$B$49,,0)</f>
        <v>Rob</v>
      </c>
      <c r="J914" t="str">
        <f>_xlfn.XLOOKUP(D914,products!$A$1:$A$49,products!$C$1:$C$49,,0)</f>
        <v>M</v>
      </c>
      <c r="K914" s="7">
        <f>_xlfn.XLOOKUP(D914,products!$A$1:$A$49,products!$D$1:$D$49,,0)</f>
        <v>2.5</v>
      </c>
      <c r="L914" s="9">
        <f>_xlfn.XLOOKUP(D914,products!$A$1:$A$49,products!$E$1:$E$49,,0)</f>
        <v>22.884999999999998</v>
      </c>
      <c r="M914" s="9">
        <f t="shared" si="14"/>
        <v>137.31</v>
      </c>
      <c r="N914" s="3" t="str" cm="1">
        <f t="array" ref="N914">_xlfn.SWITCH(I914,
"Rob","Robusta",
"Exc","Excelsa",
"Ara","Arabica",
"Lib","Liberica",
"")</f>
        <v>Robusta</v>
      </c>
      <c r="O914" t="str" cm="1">
        <f t="array" ref="O914">_xlfn.SWITCH(J914,
"M","Medium",
"L","Light",
"D","Dark",
"")</f>
        <v>Medium</v>
      </c>
      <c r="P914" t="str">
        <f>_xlfn.XLOOKUP(Orders[[#This Row],[Customer ID]],customers!$A$1:$A$1001,customers!$I$1:$I$1001,,0)</f>
        <v>Yes</v>
      </c>
    </row>
    <row r="915" spans="1:16" x14ac:dyDescent="0.35">
      <c r="A915" s="2" t="s">
        <v>5654</v>
      </c>
      <c r="B915" s="4">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_xlfn.XLOOKUP(D915,products!$A$1:$A$49,products!$B$1:$B$49,,0)</f>
        <v>Ara</v>
      </c>
      <c r="J915" t="str">
        <f>_xlfn.XLOOKUP(D915,products!$A$1:$A$49,products!$C$1:$C$49,,0)</f>
        <v>M</v>
      </c>
      <c r="K915" s="7">
        <f>_xlfn.XLOOKUP(D915,products!$A$1:$A$49,products!$D$1:$D$49,,0)</f>
        <v>0.5</v>
      </c>
      <c r="L915" s="9">
        <f>_xlfn.XLOOKUP(D915,products!$A$1:$A$49,products!$E$1:$E$49,,0)</f>
        <v>6.75</v>
      </c>
      <c r="M915" s="9">
        <f t="shared" si="14"/>
        <v>6.75</v>
      </c>
      <c r="N915" s="3" t="str" cm="1">
        <f t="array" ref="N915">_xlfn.SWITCH(I915,
"Rob","Robusta",
"Exc","Excelsa",
"Ara","Arabica",
"Lib","Liberica",
"")</f>
        <v>Arabica</v>
      </c>
      <c r="O915" t="str" cm="1">
        <f t="array" ref="O915">_xlfn.SWITCH(J915,
"M","Medium",
"L","Light",
"D","Dark",
"")</f>
        <v>Medium</v>
      </c>
      <c r="P915" t="str">
        <f>_xlfn.XLOOKUP(Orders[[#This Row],[Customer ID]],customers!$A$1:$A$1001,customers!$I$1:$I$1001,,0)</f>
        <v>No</v>
      </c>
    </row>
    <row r="916" spans="1:16" x14ac:dyDescent="0.35">
      <c r="A916" s="2" t="s">
        <v>5660</v>
      </c>
      <c r="B916" s="4">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_xlfn.XLOOKUP(D916,products!$A$1:$A$49,products!$B$1:$B$49,,0)</f>
        <v>Ara</v>
      </c>
      <c r="J916" t="str">
        <f>_xlfn.XLOOKUP(D916,products!$A$1:$A$49,products!$C$1:$C$49,,0)</f>
        <v>M</v>
      </c>
      <c r="K916" s="7">
        <f>_xlfn.XLOOKUP(D916,products!$A$1:$A$49,products!$D$1:$D$49,,0)</f>
        <v>1</v>
      </c>
      <c r="L916" s="9">
        <f>_xlfn.XLOOKUP(D916,products!$A$1:$A$49,products!$E$1:$E$49,,0)</f>
        <v>11.25</v>
      </c>
      <c r="M916" s="9">
        <f t="shared" si="14"/>
        <v>45</v>
      </c>
      <c r="N916" s="3" t="str" cm="1">
        <f t="array" ref="N916">_xlfn.SWITCH(I916,
"Rob","Robusta",
"Exc","Excelsa",
"Ara","Arabica",
"Lib","Liberica",
"")</f>
        <v>Arabica</v>
      </c>
      <c r="O916" t="str" cm="1">
        <f t="array" ref="O916">_xlfn.SWITCH(J916,
"M","Medium",
"L","Light",
"D","Dark",
"")</f>
        <v>Medium</v>
      </c>
      <c r="P916" t="str">
        <f>_xlfn.XLOOKUP(Orders[[#This Row],[Customer ID]],customers!$A$1:$A$1001,customers!$I$1:$I$1001,,0)</f>
        <v>No</v>
      </c>
    </row>
    <row r="917" spans="1:16" x14ac:dyDescent="0.35">
      <c r="A917" s="2" t="s">
        <v>5666</v>
      </c>
      <c r="B917" s="4">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_xlfn.XLOOKUP(D917,products!$A$1:$A$49,products!$B$1:$B$49,,0)</f>
        <v>Exc</v>
      </c>
      <c r="J917" t="str">
        <f>_xlfn.XLOOKUP(D917,products!$A$1:$A$49,products!$C$1:$C$49,,0)</f>
        <v>D</v>
      </c>
      <c r="K917" s="7">
        <f>_xlfn.XLOOKUP(D917,products!$A$1:$A$49,products!$D$1:$D$49,,0)</f>
        <v>2.5</v>
      </c>
      <c r="L917" s="9">
        <f>_xlfn.XLOOKUP(D917,products!$A$1:$A$49,products!$E$1:$E$49,,0)</f>
        <v>27.945</v>
      </c>
      <c r="M917" s="9">
        <f t="shared" si="14"/>
        <v>83.835000000000008</v>
      </c>
      <c r="N917" s="3" t="str" cm="1">
        <f t="array" ref="N917">_xlfn.SWITCH(I917,
"Rob","Robusta",
"Exc","Excelsa",
"Ara","Arabica",
"Lib","Liberica",
"")</f>
        <v>Excelsa</v>
      </c>
      <c r="O917" t="str" cm="1">
        <f t="array" ref="O917">_xlfn.SWITCH(J917,
"M","Medium",
"L","Light",
"D","Dark",
"")</f>
        <v>Dark</v>
      </c>
      <c r="P917" t="str">
        <f>_xlfn.XLOOKUP(Orders[[#This Row],[Customer ID]],customers!$A$1:$A$1001,customers!$I$1:$I$1001,,0)</f>
        <v>Yes</v>
      </c>
    </row>
    <row r="918" spans="1:16" x14ac:dyDescent="0.35">
      <c r="A918" s="2" t="s">
        <v>5672</v>
      </c>
      <c r="B918" s="4">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_xlfn.XLOOKUP(D918,products!$A$1:$A$49,products!$B$1:$B$49,,0)</f>
        <v>Exc</v>
      </c>
      <c r="J918" t="str">
        <f>_xlfn.XLOOKUP(D918,products!$A$1:$A$49,products!$C$1:$C$49,,0)</f>
        <v>D</v>
      </c>
      <c r="K918" s="7">
        <f>_xlfn.XLOOKUP(D918,products!$A$1:$A$49,products!$D$1:$D$49,,0)</f>
        <v>0.2</v>
      </c>
      <c r="L918" s="9">
        <f>_xlfn.XLOOKUP(D918,products!$A$1:$A$49,products!$E$1:$E$49,,0)</f>
        <v>3.645</v>
      </c>
      <c r="M918" s="9">
        <f t="shared" si="14"/>
        <v>3.645</v>
      </c>
      <c r="N918" s="3" t="str" cm="1">
        <f t="array" ref="N918">_xlfn.SWITCH(I918,
"Rob","Robusta",
"Exc","Excelsa",
"Ara","Arabica",
"Lib","Liberica",
"")</f>
        <v>Excelsa</v>
      </c>
      <c r="O918" t="str" cm="1">
        <f t="array" ref="O918">_xlfn.SWITCH(J918,
"M","Medium",
"L","Light",
"D","Dark",
"")</f>
        <v>Dark</v>
      </c>
      <c r="P918" t="str">
        <f>_xlfn.XLOOKUP(Orders[[#This Row],[Customer ID]],customers!$A$1:$A$1001,customers!$I$1:$I$1001,,0)</f>
        <v>Yes</v>
      </c>
    </row>
    <row r="919" spans="1:16" x14ac:dyDescent="0.35">
      <c r="A919" s="2" t="s">
        <v>5676</v>
      </c>
      <c r="B919" s="4">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_xlfn.XLOOKUP(D919,products!$A$1:$A$49,products!$B$1:$B$49,,0)</f>
        <v>Ara</v>
      </c>
      <c r="J919" t="str">
        <f>_xlfn.XLOOKUP(D919,products!$A$1:$A$49,products!$C$1:$C$49,,0)</f>
        <v>M</v>
      </c>
      <c r="K919" s="7">
        <f>_xlfn.XLOOKUP(D919,products!$A$1:$A$49,products!$D$1:$D$49,,0)</f>
        <v>0.5</v>
      </c>
      <c r="L919" s="9">
        <f>_xlfn.XLOOKUP(D919,products!$A$1:$A$49,products!$E$1:$E$49,,0)</f>
        <v>6.75</v>
      </c>
      <c r="M919" s="9">
        <f t="shared" si="14"/>
        <v>6.75</v>
      </c>
      <c r="N919" s="3" t="str" cm="1">
        <f t="array" ref="N919">_xlfn.SWITCH(I919,
"Rob","Robusta",
"Exc","Excelsa",
"Ara","Arabica",
"Lib","Liberica",
"")</f>
        <v>Arabica</v>
      </c>
      <c r="O919" t="str" cm="1">
        <f t="array" ref="O919">_xlfn.SWITCH(J919,
"M","Medium",
"L","Light",
"D","Dark",
"")</f>
        <v>Medium</v>
      </c>
      <c r="P919" t="str">
        <f>_xlfn.XLOOKUP(Orders[[#This Row],[Customer ID]],customers!$A$1:$A$1001,customers!$I$1:$I$1001,,0)</f>
        <v>No</v>
      </c>
    </row>
    <row r="920" spans="1:16" x14ac:dyDescent="0.35">
      <c r="A920" s="2" t="s">
        <v>5676</v>
      </c>
      <c r="B920" s="4">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_xlfn.XLOOKUP(D920,products!$A$1:$A$49,products!$B$1:$B$49,,0)</f>
        <v>Exc</v>
      </c>
      <c r="J920" t="str">
        <f>_xlfn.XLOOKUP(D920,products!$A$1:$A$49,products!$C$1:$C$49,,0)</f>
        <v>D</v>
      </c>
      <c r="K920" s="7">
        <f>_xlfn.XLOOKUP(D920,products!$A$1:$A$49,products!$D$1:$D$49,,0)</f>
        <v>0.5</v>
      </c>
      <c r="L920" s="9">
        <f>_xlfn.XLOOKUP(D920,products!$A$1:$A$49,products!$E$1:$E$49,,0)</f>
        <v>7.29</v>
      </c>
      <c r="M920" s="9">
        <f t="shared" si="14"/>
        <v>21.87</v>
      </c>
      <c r="N920" s="3" t="str" cm="1">
        <f t="array" ref="N920">_xlfn.SWITCH(I920,
"Rob","Robusta",
"Exc","Excelsa",
"Ara","Arabica",
"Lib","Liberica",
"")</f>
        <v>Excelsa</v>
      </c>
      <c r="O920" t="str" cm="1">
        <f t="array" ref="O920">_xlfn.SWITCH(J920,
"M","Medium",
"L","Light",
"D","Dark",
"")</f>
        <v>Dark</v>
      </c>
      <c r="P920" t="str">
        <f>_xlfn.XLOOKUP(Orders[[#This Row],[Customer ID]],customers!$A$1:$A$1001,customers!$I$1:$I$1001,,0)</f>
        <v>No</v>
      </c>
    </row>
    <row r="921" spans="1:16" x14ac:dyDescent="0.35">
      <c r="A921" s="2" t="s">
        <v>5687</v>
      </c>
      <c r="B921" s="4">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_xlfn.XLOOKUP(D921,products!$A$1:$A$49,products!$B$1:$B$49,,0)</f>
        <v>Rob</v>
      </c>
      <c r="J921" t="str">
        <f>_xlfn.XLOOKUP(D921,products!$A$1:$A$49,products!$C$1:$C$49,,0)</f>
        <v>D</v>
      </c>
      <c r="K921" s="7">
        <f>_xlfn.XLOOKUP(D921,products!$A$1:$A$49,products!$D$1:$D$49,,0)</f>
        <v>0.2</v>
      </c>
      <c r="L921" s="9">
        <f>_xlfn.XLOOKUP(D921,products!$A$1:$A$49,products!$E$1:$E$49,,0)</f>
        <v>2.6849999999999996</v>
      </c>
      <c r="M921" s="9">
        <f t="shared" si="14"/>
        <v>13.424999999999997</v>
      </c>
      <c r="N921" s="3" t="str" cm="1">
        <f t="array" ref="N921">_xlfn.SWITCH(I921,
"Rob","Robusta",
"Exc","Excelsa",
"Ara","Arabica",
"Lib","Liberica",
"")</f>
        <v>Robusta</v>
      </c>
      <c r="O921" t="str" cm="1">
        <f t="array" ref="O921">_xlfn.SWITCH(J921,
"M","Medium",
"L","Light",
"D","Dark",
"")</f>
        <v>Dark</v>
      </c>
      <c r="P921" t="str">
        <f>_xlfn.XLOOKUP(Orders[[#This Row],[Customer ID]],customers!$A$1:$A$1001,customers!$I$1:$I$1001,,0)</f>
        <v>Yes</v>
      </c>
    </row>
    <row r="922" spans="1:16" x14ac:dyDescent="0.35">
      <c r="A922" s="2" t="s">
        <v>5693</v>
      </c>
      <c r="B922" s="4">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_xlfn.XLOOKUP(D922,products!$A$1:$A$49,products!$B$1:$B$49,,0)</f>
        <v>Rob</v>
      </c>
      <c r="J922" t="str">
        <f>_xlfn.XLOOKUP(D922,products!$A$1:$A$49,products!$C$1:$C$49,,0)</f>
        <v>D</v>
      </c>
      <c r="K922" s="7">
        <f>_xlfn.XLOOKUP(D922,products!$A$1:$A$49,products!$D$1:$D$49,,0)</f>
        <v>2.5</v>
      </c>
      <c r="L922" s="9">
        <f>_xlfn.XLOOKUP(D922,products!$A$1:$A$49,products!$E$1:$E$49,,0)</f>
        <v>20.584999999999997</v>
      </c>
      <c r="M922" s="9">
        <f t="shared" si="14"/>
        <v>123.50999999999999</v>
      </c>
      <c r="N922" s="3" t="str" cm="1">
        <f t="array" ref="N922">_xlfn.SWITCH(I922,
"Rob","Robusta",
"Exc","Excelsa",
"Ara","Arabica",
"Lib","Liberica",
"")</f>
        <v>Robusta</v>
      </c>
      <c r="O922" t="str" cm="1">
        <f t="array" ref="O922">_xlfn.SWITCH(J922,
"M","Medium",
"L","Light",
"D","Dark",
"")</f>
        <v>Dark</v>
      </c>
      <c r="P922" t="str">
        <f>_xlfn.XLOOKUP(Orders[[#This Row],[Customer ID]],customers!$A$1:$A$1001,customers!$I$1:$I$1001,,0)</f>
        <v>No</v>
      </c>
    </row>
    <row r="923" spans="1:16" x14ac:dyDescent="0.35">
      <c r="A923" s="2" t="s">
        <v>5699</v>
      </c>
      <c r="B923" s="4">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_xlfn.XLOOKUP(D923,products!$A$1:$A$49,products!$B$1:$B$49,,0)</f>
        <v>Lib</v>
      </c>
      <c r="J923" t="str">
        <f>_xlfn.XLOOKUP(D923,products!$A$1:$A$49,products!$C$1:$C$49,,0)</f>
        <v>D</v>
      </c>
      <c r="K923" s="7">
        <f>_xlfn.XLOOKUP(D923,products!$A$1:$A$49,products!$D$1:$D$49,,0)</f>
        <v>0.2</v>
      </c>
      <c r="L923" s="9">
        <f>_xlfn.XLOOKUP(D923,products!$A$1:$A$49,products!$E$1:$E$49,,0)</f>
        <v>3.8849999999999998</v>
      </c>
      <c r="M923" s="9">
        <f t="shared" si="14"/>
        <v>7.77</v>
      </c>
      <c r="N923" s="3" t="str" cm="1">
        <f t="array" ref="N923">_xlfn.SWITCH(I923,
"Rob","Robusta",
"Exc","Excelsa",
"Ara","Arabica",
"Lib","Liberica",
"")</f>
        <v>Liberica</v>
      </c>
      <c r="O923" t="str" cm="1">
        <f t="array" ref="O923">_xlfn.SWITCH(J923,
"M","Medium",
"L","Light",
"D","Dark",
"")</f>
        <v>Dark</v>
      </c>
      <c r="P923" t="str">
        <f>_xlfn.XLOOKUP(Orders[[#This Row],[Customer ID]],customers!$A$1:$A$1001,customers!$I$1:$I$1001,,0)</f>
        <v>No</v>
      </c>
    </row>
    <row r="924" spans="1:16" x14ac:dyDescent="0.35">
      <c r="A924" s="2" t="s">
        <v>5705</v>
      </c>
      <c r="B924" s="4">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_xlfn.XLOOKUP(D924,products!$A$1:$A$49,products!$B$1:$B$49,,0)</f>
        <v>Ara</v>
      </c>
      <c r="J924" t="str">
        <f>_xlfn.XLOOKUP(D924,products!$A$1:$A$49,products!$C$1:$C$49,,0)</f>
        <v>M</v>
      </c>
      <c r="K924" s="7">
        <f>_xlfn.XLOOKUP(D924,products!$A$1:$A$49,products!$D$1:$D$49,,0)</f>
        <v>1</v>
      </c>
      <c r="L924" s="9">
        <f>_xlfn.XLOOKUP(D924,products!$A$1:$A$49,products!$E$1:$E$49,,0)</f>
        <v>11.25</v>
      </c>
      <c r="M924" s="9">
        <f t="shared" si="14"/>
        <v>67.5</v>
      </c>
      <c r="N924" s="3" t="str" cm="1">
        <f t="array" ref="N924">_xlfn.SWITCH(I924,
"Rob","Robusta",
"Exc","Excelsa",
"Ara","Arabica",
"Lib","Liberica",
"")</f>
        <v>Arabica</v>
      </c>
      <c r="O924" t="str" cm="1">
        <f t="array" ref="O924">_xlfn.SWITCH(J924,
"M","Medium",
"L","Light",
"D","Dark",
"")</f>
        <v>Medium</v>
      </c>
      <c r="P924" t="str">
        <f>_xlfn.XLOOKUP(Orders[[#This Row],[Customer ID]],customers!$A$1:$A$1001,customers!$I$1:$I$1001,,0)</f>
        <v>Yes</v>
      </c>
    </row>
    <row r="925" spans="1:16" x14ac:dyDescent="0.35">
      <c r="A925" s="2" t="s">
        <v>5709</v>
      </c>
      <c r="B925" s="4">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_xlfn.XLOOKUP(D925,products!$A$1:$A$49,products!$B$1:$B$49,,0)</f>
        <v>Exc</v>
      </c>
      <c r="J925" t="str">
        <f>_xlfn.XLOOKUP(D925,products!$A$1:$A$49,products!$C$1:$C$49,,0)</f>
        <v>D</v>
      </c>
      <c r="K925" s="7">
        <f>_xlfn.XLOOKUP(D925,products!$A$1:$A$49,products!$D$1:$D$49,,0)</f>
        <v>2.5</v>
      </c>
      <c r="L925" s="9">
        <f>_xlfn.XLOOKUP(D925,products!$A$1:$A$49,products!$E$1:$E$49,,0)</f>
        <v>27.945</v>
      </c>
      <c r="M925" s="9">
        <f t="shared" si="14"/>
        <v>27.945</v>
      </c>
      <c r="N925" s="3" t="str" cm="1">
        <f t="array" ref="N925">_xlfn.SWITCH(I925,
"Rob","Robusta",
"Exc","Excelsa",
"Ara","Arabica",
"Lib","Liberica",
"")</f>
        <v>Excelsa</v>
      </c>
      <c r="O925" t="str" cm="1">
        <f t="array" ref="O925">_xlfn.SWITCH(J925,
"M","Medium",
"L","Light",
"D","Dark",
"")</f>
        <v>Dark</v>
      </c>
      <c r="P925" t="str">
        <f>_xlfn.XLOOKUP(Orders[[#This Row],[Customer ID]],customers!$A$1:$A$1001,customers!$I$1:$I$1001,,0)</f>
        <v>No</v>
      </c>
    </row>
    <row r="926" spans="1:16" x14ac:dyDescent="0.35">
      <c r="A926" s="2" t="s">
        <v>5715</v>
      </c>
      <c r="B926" s="4">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_xlfn.XLOOKUP(D926,products!$A$1:$A$49,products!$B$1:$B$49,,0)</f>
        <v>Ara</v>
      </c>
      <c r="J926" t="str">
        <f>_xlfn.XLOOKUP(D926,products!$A$1:$A$49,products!$C$1:$C$49,,0)</f>
        <v>L</v>
      </c>
      <c r="K926" s="7">
        <f>_xlfn.XLOOKUP(D926,products!$A$1:$A$49,products!$D$1:$D$49,,0)</f>
        <v>2.5</v>
      </c>
      <c r="L926" s="9">
        <f>_xlfn.XLOOKUP(D926,products!$A$1:$A$49,products!$E$1:$E$49,,0)</f>
        <v>29.784999999999997</v>
      </c>
      <c r="M926" s="9">
        <f t="shared" si="14"/>
        <v>89.35499999999999</v>
      </c>
      <c r="N926" s="3" t="str" cm="1">
        <f t="array" ref="N926">_xlfn.SWITCH(I926,
"Rob","Robusta",
"Exc","Excelsa",
"Ara","Arabica",
"Lib","Liberica",
"")</f>
        <v>Arabica</v>
      </c>
      <c r="O926" t="str" cm="1">
        <f t="array" ref="O926">_xlfn.SWITCH(J926,
"M","Medium",
"L","Light",
"D","Dark",
"")</f>
        <v>Light</v>
      </c>
      <c r="P926" t="str">
        <f>_xlfn.XLOOKUP(Orders[[#This Row],[Customer ID]],customers!$A$1:$A$1001,customers!$I$1:$I$1001,,0)</f>
        <v>No</v>
      </c>
    </row>
    <row r="927" spans="1:16" x14ac:dyDescent="0.35">
      <c r="A927" s="2" t="s">
        <v>5720</v>
      </c>
      <c r="B927" s="4">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_xlfn.XLOOKUP(D927,products!$A$1:$A$49,products!$B$1:$B$49,,0)</f>
        <v>Ara</v>
      </c>
      <c r="J927" t="str">
        <f>_xlfn.XLOOKUP(D927,products!$A$1:$A$49,products!$C$1:$C$49,,0)</f>
        <v>M</v>
      </c>
      <c r="K927" s="7">
        <f>_xlfn.XLOOKUP(D927,products!$A$1:$A$49,products!$D$1:$D$49,,0)</f>
        <v>0.5</v>
      </c>
      <c r="L927" s="9">
        <f>_xlfn.XLOOKUP(D927,products!$A$1:$A$49,products!$E$1:$E$49,,0)</f>
        <v>6.75</v>
      </c>
      <c r="M927" s="9">
        <f t="shared" si="14"/>
        <v>20.25</v>
      </c>
      <c r="N927" s="3" t="str" cm="1">
        <f t="array" ref="N927">_xlfn.SWITCH(I927,
"Rob","Robusta",
"Exc","Excelsa",
"Ara","Arabica",
"Lib","Liberica",
"")</f>
        <v>Arabica</v>
      </c>
      <c r="O927" t="str" cm="1">
        <f t="array" ref="O927">_xlfn.SWITCH(J927,
"M","Medium",
"L","Light",
"D","Dark",
"")</f>
        <v>Medium</v>
      </c>
      <c r="P927" t="str">
        <f>_xlfn.XLOOKUP(Orders[[#This Row],[Customer ID]],customers!$A$1:$A$1001,customers!$I$1:$I$1001,,0)</f>
        <v>No</v>
      </c>
    </row>
    <row r="928" spans="1:16" x14ac:dyDescent="0.35">
      <c r="A928" s="2" t="s">
        <v>5725</v>
      </c>
      <c r="B928" s="4">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_xlfn.XLOOKUP(D928,products!$A$1:$A$49,products!$B$1:$B$49,,0)</f>
        <v>Ara</v>
      </c>
      <c r="J928" t="str">
        <f>_xlfn.XLOOKUP(D928,products!$A$1:$A$49,products!$C$1:$C$49,,0)</f>
        <v>M</v>
      </c>
      <c r="K928" s="7">
        <f>_xlfn.XLOOKUP(D928,products!$A$1:$A$49,products!$D$1:$D$49,,0)</f>
        <v>0.5</v>
      </c>
      <c r="L928" s="9">
        <f>_xlfn.XLOOKUP(D928,products!$A$1:$A$49,products!$E$1:$E$49,,0)</f>
        <v>6.75</v>
      </c>
      <c r="M928" s="9">
        <f t="shared" si="14"/>
        <v>33.75</v>
      </c>
      <c r="N928" s="3" t="str" cm="1">
        <f t="array" ref="N928">_xlfn.SWITCH(I928,
"Rob","Robusta",
"Exc","Excelsa",
"Ara","Arabica",
"Lib","Liberica",
"")</f>
        <v>Arabica</v>
      </c>
      <c r="O928" t="str" cm="1">
        <f t="array" ref="O928">_xlfn.SWITCH(J928,
"M","Medium",
"L","Light",
"D","Dark",
"")</f>
        <v>Medium</v>
      </c>
      <c r="P928" t="str">
        <f>_xlfn.XLOOKUP(Orders[[#This Row],[Customer ID]],customers!$A$1:$A$1001,customers!$I$1:$I$1001,,0)</f>
        <v>Yes</v>
      </c>
    </row>
    <row r="929" spans="1:16" x14ac:dyDescent="0.35">
      <c r="A929" s="2" t="s">
        <v>5731</v>
      </c>
      <c r="B929" s="4">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_xlfn.XLOOKUP(D929,products!$A$1:$A$49,products!$B$1:$B$49,,0)</f>
        <v>Exc</v>
      </c>
      <c r="J929" t="str">
        <f>_xlfn.XLOOKUP(D929,products!$A$1:$A$49,products!$C$1:$C$49,,0)</f>
        <v>D</v>
      </c>
      <c r="K929" s="7">
        <f>_xlfn.XLOOKUP(D929,products!$A$1:$A$49,products!$D$1:$D$49,,0)</f>
        <v>2.5</v>
      </c>
      <c r="L929" s="9">
        <f>_xlfn.XLOOKUP(D929,products!$A$1:$A$49,products!$E$1:$E$49,,0)</f>
        <v>27.945</v>
      </c>
      <c r="M929" s="9">
        <f t="shared" si="14"/>
        <v>111.78</v>
      </c>
      <c r="N929" s="3" t="str" cm="1">
        <f t="array" ref="N929">_xlfn.SWITCH(I929,
"Rob","Robusta",
"Exc","Excelsa",
"Ara","Arabica",
"Lib","Liberica",
"")</f>
        <v>Excelsa</v>
      </c>
      <c r="O929" t="str" cm="1">
        <f t="array" ref="O929">_xlfn.SWITCH(J929,
"M","Medium",
"L","Light",
"D","Dark",
"")</f>
        <v>Dark</v>
      </c>
      <c r="P929" t="str">
        <f>_xlfn.XLOOKUP(Orders[[#This Row],[Customer ID]],customers!$A$1:$A$1001,customers!$I$1:$I$1001,,0)</f>
        <v>No</v>
      </c>
    </row>
    <row r="930" spans="1:16" x14ac:dyDescent="0.35">
      <c r="A930" s="2" t="s">
        <v>5737</v>
      </c>
      <c r="B930" s="4">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_xlfn.XLOOKUP(D930,products!$A$1:$A$49,products!$B$1:$B$49,,0)</f>
        <v>Exc</v>
      </c>
      <c r="J930" t="str">
        <f>_xlfn.XLOOKUP(D930,products!$A$1:$A$49,products!$C$1:$C$49,,0)</f>
        <v>M</v>
      </c>
      <c r="K930" s="7">
        <f>_xlfn.XLOOKUP(D930,products!$A$1:$A$49,products!$D$1:$D$49,,0)</f>
        <v>2.5</v>
      </c>
      <c r="L930" s="9">
        <f>_xlfn.XLOOKUP(D930,products!$A$1:$A$49,products!$E$1:$E$49,,0)</f>
        <v>31.624999999999996</v>
      </c>
      <c r="M930" s="9">
        <f t="shared" si="14"/>
        <v>63.249999999999993</v>
      </c>
      <c r="N930" s="3" t="str" cm="1">
        <f t="array" ref="N930">_xlfn.SWITCH(I930,
"Rob","Robusta",
"Exc","Excelsa",
"Ara","Arabica",
"Lib","Liberica",
"")</f>
        <v>Excelsa</v>
      </c>
      <c r="O930" t="str" cm="1">
        <f t="array" ref="O930">_xlfn.SWITCH(J930,
"M","Medium",
"L","Light",
"D","Dark",
"")</f>
        <v>Medium</v>
      </c>
      <c r="P930" t="str">
        <f>_xlfn.XLOOKUP(Orders[[#This Row],[Customer ID]],customers!$A$1:$A$1001,customers!$I$1:$I$1001,,0)</f>
        <v>Yes</v>
      </c>
    </row>
    <row r="931" spans="1:16" x14ac:dyDescent="0.35">
      <c r="A931" s="2" t="s">
        <v>5742</v>
      </c>
      <c r="B931" s="4">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_xlfn.XLOOKUP(D931,products!$A$1:$A$49,products!$B$1:$B$49,,0)</f>
        <v>Exc</v>
      </c>
      <c r="J931" t="str">
        <f>_xlfn.XLOOKUP(D931,products!$A$1:$A$49,products!$C$1:$C$49,,0)</f>
        <v>L</v>
      </c>
      <c r="K931" s="7">
        <f>_xlfn.XLOOKUP(D931,products!$A$1:$A$49,products!$D$1:$D$49,,0)</f>
        <v>0.2</v>
      </c>
      <c r="L931" s="9">
        <f>_xlfn.XLOOKUP(D931,products!$A$1:$A$49,products!$E$1:$E$49,,0)</f>
        <v>4.4550000000000001</v>
      </c>
      <c r="M931" s="9">
        <f t="shared" si="14"/>
        <v>8.91</v>
      </c>
      <c r="N931" s="3" t="str" cm="1">
        <f t="array" ref="N931">_xlfn.SWITCH(I931,
"Rob","Robusta",
"Exc","Excelsa",
"Ara","Arabica",
"Lib","Liberica",
"")</f>
        <v>Excelsa</v>
      </c>
      <c r="O931" t="str" cm="1">
        <f t="array" ref="O931">_xlfn.SWITCH(J931,
"M","Medium",
"L","Light",
"D","Dark",
"")</f>
        <v>Light</v>
      </c>
      <c r="P931" t="str">
        <f>_xlfn.XLOOKUP(Orders[[#This Row],[Customer ID]],customers!$A$1:$A$1001,customers!$I$1:$I$1001,,0)</f>
        <v>Yes</v>
      </c>
    </row>
    <row r="932" spans="1:16" x14ac:dyDescent="0.35">
      <c r="A932" s="2" t="s">
        <v>5748</v>
      </c>
      <c r="B932" s="4">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_xlfn.XLOOKUP(D932,products!$A$1:$A$49,products!$B$1:$B$49,,0)</f>
        <v>Exc</v>
      </c>
      <c r="J932" t="str">
        <f>_xlfn.XLOOKUP(D932,products!$A$1:$A$49,products!$C$1:$C$49,,0)</f>
        <v>D</v>
      </c>
      <c r="K932" s="7">
        <f>_xlfn.XLOOKUP(D932,products!$A$1:$A$49,products!$D$1:$D$49,,0)</f>
        <v>1</v>
      </c>
      <c r="L932" s="9">
        <f>_xlfn.XLOOKUP(D932,products!$A$1:$A$49,products!$E$1:$E$49,,0)</f>
        <v>12.15</v>
      </c>
      <c r="M932" s="9">
        <f t="shared" si="14"/>
        <v>12.15</v>
      </c>
      <c r="N932" s="3" t="str" cm="1">
        <f t="array" ref="N932">_xlfn.SWITCH(I932,
"Rob","Robusta",
"Exc","Excelsa",
"Ara","Arabica",
"Lib","Liberica",
"")</f>
        <v>Excelsa</v>
      </c>
      <c r="O932" t="str" cm="1">
        <f t="array" ref="O932">_xlfn.SWITCH(J932,
"M","Medium",
"L","Light",
"D","Dark",
"")</f>
        <v>Dark</v>
      </c>
      <c r="P932" t="str">
        <f>_xlfn.XLOOKUP(Orders[[#This Row],[Customer ID]],customers!$A$1:$A$1001,customers!$I$1:$I$1001,,0)</f>
        <v>Yes</v>
      </c>
    </row>
    <row r="933" spans="1:16" x14ac:dyDescent="0.35">
      <c r="A933" s="2" t="s">
        <v>5753</v>
      </c>
      <c r="B933" s="4">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_xlfn.XLOOKUP(D933,products!$A$1:$A$49,products!$B$1:$B$49,,0)</f>
        <v>Ara</v>
      </c>
      <c r="J933" t="str">
        <f>_xlfn.XLOOKUP(D933,products!$A$1:$A$49,products!$C$1:$C$49,,0)</f>
        <v>D</v>
      </c>
      <c r="K933" s="7">
        <f>_xlfn.XLOOKUP(D933,products!$A$1:$A$49,products!$D$1:$D$49,,0)</f>
        <v>0.5</v>
      </c>
      <c r="L933" s="9">
        <f>_xlfn.XLOOKUP(D933,products!$A$1:$A$49,products!$E$1:$E$49,,0)</f>
        <v>5.97</v>
      </c>
      <c r="M933" s="9">
        <f t="shared" si="14"/>
        <v>23.88</v>
      </c>
      <c r="N933" s="3" t="str" cm="1">
        <f t="array" ref="N933">_xlfn.SWITCH(I933,
"Rob","Robusta",
"Exc","Excelsa",
"Ara","Arabica",
"Lib","Liberica",
"")</f>
        <v>Arabica</v>
      </c>
      <c r="O933" t="str" cm="1">
        <f t="array" ref="O933">_xlfn.SWITCH(J933,
"M","Medium",
"L","Light",
"D","Dark",
"")</f>
        <v>Dark</v>
      </c>
      <c r="P933" t="str">
        <f>_xlfn.XLOOKUP(Orders[[#This Row],[Customer ID]],customers!$A$1:$A$1001,customers!$I$1:$I$1001,,0)</f>
        <v>Yes</v>
      </c>
    </row>
    <row r="934" spans="1:16" x14ac:dyDescent="0.35">
      <c r="A934" s="2" t="s">
        <v>5757</v>
      </c>
      <c r="B934" s="4">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_xlfn.XLOOKUP(D934,products!$A$1:$A$49,products!$B$1:$B$49,,0)</f>
        <v>Exc</v>
      </c>
      <c r="J934" t="str">
        <f>_xlfn.XLOOKUP(D934,products!$A$1:$A$49,products!$C$1:$C$49,,0)</f>
        <v>M</v>
      </c>
      <c r="K934" s="7">
        <f>_xlfn.XLOOKUP(D934,products!$A$1:$A$49,products!$D$1:$D$49,,0)</f>
        <v>1</v>
      </c>
      <c r="L934" s="9">
        <f>_xlfn.XLOOKUP(D934,products!$A$1:$A$49,products!$E$1:$E$49,,0)</f>
        <v>13.75</v>
      </c>
      <c r="M934" s="9">
        <f t="shared" si="14"/>
        <v>55</v>
      </c>
      <c r="N934" s="3" t="str" cm="1">
        <f t="array" ref="N934">_xlfn.SWITCH(I934,
"Rob","Robusta",
"Exc","Excelsa",
"Ara","Arabica",
"Lib","Liberica",
"")</f>
        <v>Excelsa</v>
      </c>
      <c r="O934" t="str" cm="1">
        <f t="array" ref="O934">_xlfn.SWITCH(J934,
"M","Medium",
"L","Light",
"D","Dark",
"")</f>
        <v>Medium</v>
      </c>
      <c r="P934" t="str">
        <f>_xlfn.XLOOKUP(Orders[[#This Row],[Customer ID]],customers!$A$1:$A$1001,customers!$I$1:$I$1001,,0)</f>
        <v>No</v>
      </c>
    </row>
    <row r="935" spans="1:16" x14ac:dyDescent="0.35">
      <c r="A935" s="2" t="s">
        <v>5763</v>
      </c>
      <c r="B935" s="4">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_xlfn.XLOOKUP(D935,products!$A$1:$A$49,products!$B$1:$B$49,,0)</f>
        <v>Rob</v>
      </c>
      <c r="J935" t="str">
        <f>_xlfn.XLOOKUP(D935,products!$A$1:$A$49,products!$C$1:$C$49,,0)</f>
        <v>D</v>
      </c>
      <c r="K935" s="7">
        <f>_xlfn.XLOOKUP(D935,products!$A$1:$A$49,products!$D$1:$D$49,,0)</f>
        <v>1</v>
      </c>
      <c r="L935" s="9">
        <f>_xlfn.XLOOKUP(D935,products!$A$1:$A$49,products!$E$1:$E$49,,0)</f>
        <v>8.9499999999999993</v>
      </c>
      <c r="M935" s="9">
        <f t="shared" si="14"/>
        <v>26.849999999999998</v>
      </c>
      <c r="N935" s="3" t="str" cm="1">
        <f t="array" ref="N935">_xlfn.SWITCH(I935,
"Rob","Robusta",
"Exc","Excelsa",
"Ara","Arabica",
"Lib","Liberica",
"")</f>
        <v>Robusta</v>
      </c>
      <c r="O935" t="str" cm="1">
        <f t="array" ref="O935">_xlfn.SWITCH(J935,
"M","Medium",
"L","Light",
"D","Dark",
"")</f>
        <v>Dark</v>
      </c>
      <c r="P935" t="str">
        <f>_xlfn.XLOOKUP(Orders[[#This Row],[Customer ID]],customers!$A$1:$A$1001,customers!$I$1:$I$1001,,0)</f>
        <v>Yes</v>
      </c>
    </row>
    <row r="936" spans="1:16" x14ac:dyDescent="0.35">
      <c r="A936" s="2" t="s">
        <v>5768</v>
      </c>
      <c r="B936" s="4">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_xlfn.XLOOKUP(D936,products!$A$1:$A$49,products!$B$1:$B$49,,0)</f>
        <v>Rob</v>
      </c>
      <c r="J936" t="str">
        <f>_xlfn.XLOOKUP(D936,products!$A$1:$A$49,products!$C$1:$C$49,,0)</f>
        <v>M</v>
      </c>
      <c r="K936" s="7">
        <f>_xlfn.XLOOKUP(D936,products!$A$1:$A$49,products!$D$1:$D$49,,0)</f>
        <v>2.5</v>
      </c>
      <c r="L936" s="9">
        <f>_xlfn.XLOOKUP(D936,products!$A$1:$A$49,products!$E$1:$E$49,,0)</f>
        <v>22.884999999999998</v>
      </c>
      <c r="M936" s="9">
        <f t="shared" si="14"/>
        <v>114.42499999999998</v>
      </c>
      <c r="N936" s="3" t="str" cm="1">
        <f t="array" ref="N936">_xlfn.SWITCH(I936,
"Rob","Robusta",
"Exc","Excelsa",
"Ara","Arabica",
"Lib","Liberica",
"")</f>
        <v>Robusta</v>
      </c>
      <c r="O936" t="str" cm="1">
        <f t="array" ref="O936">_xlfn.SWITCH(J936,
"M","Medium",
"L","Light",
"D","Dark",
"")</f>
        <v>Medium</v>
      </c>
      <c r="P936" t="str">
        <f>_xlfn.XLOOKUP(Orders[[#This Row],[Customer ID]],customers!$A$1:$A$1001,customers!$I$1:$I$1001,,0)</f>
        <v>No</v>
      </c>
    </row>
    <row r="937" spans="1:16" x14ac:dyDescent="0.35">
      <c r="A937" s="2" t="s">
        <v>5774</v>
      </c>
      <c r="B937" s="4">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_xlfn.XLOOKUP(D937,products!$A$1:$A$49,products!$B$1:$B$49,,0)</f>
        <v>Ara</v>
      </c>
      <c r="J937" t="str">
        <f>_xlfn.XLOOKUP(D937,products!$A$1:$A$49,products!$C$1:$C$49,,0)</f>
        <v>M</v>
      </c>
      <c r="K937" s="7">
        <f>_xlfn.XLOOKUP(D937,products!$A$1:$A$49,products!$D$1:$D$49,,0)</f>
        <v>2.5</v>
      </c>
      <c r="L937" s="9">
        <f>_xlfn.XLOOKUP(D937,products!$A$1:$A$49,products!$E$1:$E$49,,0)</f>
        <v>25.874999999999996</v>
      </c>
      <c r="M937" s="9">
        <f t="shared" si="14"/>
        <v>155.24999999999997</v>
      </c>
      <c r="N937" s="3" t="str" cm="1">
        <f t="array" ref="N937">_xlfn.SWITCH(I937,
"Rob","Robusta",
"Exc","Excelsa",
"Ara","Arabica",
"Lib","Liberica",
"")</f>
        <v>Arabica</v>
      </c>
      <c r="O937" t="str" cm="1">
        <f t="array" ref="O937">_xlfn.SWITCH(J937,
"M","Medium",
"L","Light",
"D","Dark",
"")</f>
        <v>Medium</v>
      </c>
      <c r="P937" t="str">
        <f>_xlfn.XLOOKUP(Orders[[#This Row],[Customer ID]],customers!$A$1:$A$1001,customers!$I$1:$I$1001,,0)</f>
        <v>Yes</v>
      </c>
    </row>
    <row r="938" spans="1:16" x14ac:dyDescent="0.35">
      <c r="A938" s="2" t="s">
        <v>5780</v>
      </c>
      <c r="B938" s="4">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_xlfn.XLOOKUP(D938,products!$A$1:$A$49,products!$B$1:$B$49,,0)</f>
        <v>Lib</v>
      </c>
      <c r="J938" t="str">
        <f>_xlfn.XLOOKUP(D938,products!$A$1:$A$49,products!$C$1:$C$49,,0)</f>
        <v>D</v>
      </c>
      <c r="K938" s="7">
        <f>_xlfn.XLOOKUP(D938,products!$A$1:$A$49,products!$D$1:$D$49,,0)</f>
        <v>0.5</v>
      </c>
      <c r="L938" s="9">
        <f>_xlfn.XLOOKUP(D938,products!$A$1:$A$49,products!$E$1:$E$49,,0)</f>
        <v>7.77</v>
      </c>
      <c r="M938" s="9">
        <f t="shared" si="14"/>
        <v>23.31</v>
      </c>
      <c r="N938" s="3" t="str" cm="1">
        <f t="array" ref="N938">_xlfn.SWITCH(I938,
"Rob","Robusta",
"Exc","Excelsa",
"Ara","Arabica",
"Lib","Liberica",
"")</f>
        <v>Liberica</v>
      </c>
      <c r="O938" t="str" cm="1">
        <f t="array" ref="O938">_xlfn.SWITCH(J938,
"M","Medium",
"L","Light",
"D","Dark",
"")</f>
        <v>Dark</v>
      </c>
      <c r="P938" t="str">
        <f>_xlfn.XLOOKUP(Orders[[#This Row],[Customer ID]],customers!$A$1:$A$1001,customers!$I$1:$I$1001,,0)</f>
        <v>Yes</v>
      </c>
    </row>
    <row r="939" spans="1:16" x14ac:dyDescent="0.35">
      <c r="A939" s="2" t="s">
        <v>5780</v>
      </c>
      <c r="B939" s="4">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_xlfn.XLOOKUP(D939,products!$A$1:$A$49,products!$B$1:$B$49,,0)</f>
        <v>Rob</v>
      </c>
      <c r="J939" t="str">
        <f>_xlfn.XLOOKUP(D939,products!$A$1:$A$49,products!$C$1:$C$49,,0)</f>
        <v>M</v>
      </c>
      <c r="K939" s="7">
        <f>_xlfn.XLOOKUP(D939,products!$A$1:$A$49,products!$D$1:$D$49,,0)</f>
        <v>2.5</v>
      </c>
      <c r="L939" s="9">
        <f>_xlfn.XLOOKUP(D939,products!$A$1:$A$49,products!$E$1:$E$49,,0)</f>
        <v>22.884999999999998</v>
      </c>
      <c r="M939" s="9">
        <f t="shared" si="14"/>
        <v>91.539999999999992</v>
      </c>
      <c r="N939" s="3" t="str" cm="1">
        <f t="array" ref="N939">_xlfn.SWITCH(I939,
"Rob","Robusta",
"Exc","Excelsa",
"Ara","Arabica",
"Lib","Liberica",
"")</f>
        <v>Robusta</v>
      </c>
      <c r="O939" t="str" cm="1">
        <f t="array" ref="O939">_xlfn.SWITCH(J939,
"M","Medium",
"L","Light",
"D","Dark",
"")</f>
        <v>Medium</v>
      </c>
      <c r="P939" t="str">
        <f>_xlfn.XLOOKUP(Orders[[#This Row],[Customer ID]],customers!$A$1:$A$1001,customers!$I$1:$I$1001,,0)</f>
        <v>Yes</v>
      </c>
    </row>
    <row r="940" spans="1:16" x14ac:dyDescent="0.35">
      <c r="A940" s="2" t="s">
        <v>5791</v>
      </c>
      <c r="B940" s="4">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_xlfn.XLOOKUP(D940,products!$A$1:$A$49,products!$B$1:$B$49,,0)</f>
        <v>Exc</v>
      </c>
      <c r="J940" t="str">
        <f>_xlfn.XLOOKUP(D940,products!$A$1:$A$49,products!$C$1:$C$49,,0)</f>
        <v>L</v>
      </c>
      <c r="K940" s="7">
        <f>_xlfn.XLOOKUP(D940,products!$A$1:$A$49,products!$D$1:$D$49,,0)</f>
        <v>1</v>
      </c>
      <c r="L940" s="9">
        <f>_xlfn.XLOOKUP(D940,products!$A$1:$A$49,products!$E$1:$E$49,,0)</f>
        <v>14.85</v>
      </c>
      <c r="M940" s="9">
        <f t="shared" si="14"/>
        <v>74.25</v>
      </c>
      <c r="N940" s="3" t="str" cm="1">
        <f t="array" ref="N940">_xlfn.SWITCH(I940,
"Rob","Robusta",
"Exc","Excelsa",
"Ara","Arabica",
"Lib","Liberica",
"")</f>
        <v>Excelsa</v>
      </c>
      <c r="O940" t="str" cm="1">
        <f t="array" ref="O940">_xlfn.SWITCH(J940,
"M","Medium",
"L","Light",
"D","Dark",
"")</f>
        <v>Light</v>
      </c>
      <c r="P940" t="str">
        <f>_xlfn.XLOOKUP(Orders[[#This Row],[Customer ID]],customers!$A$1:$A$1001,customers!$I$1:$I$1001,,0)</f>
        <v>Yes</v>
      </c>
    </row>
    <row r="941" spans="1:16" x14ac:dyDescent="0.35">
      <c r="A941" s="2" t="s">
        <v>5797</v>
      </c>
      <c r="B941" s="4">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_xlfn.XLOOKUP(D941,products!$A$1:$A$49,products!$B$1:$B$49,,0)</f>
        <v>Lib</v>
      </c>
      <c r="J941" t="str">
        <f>_xlfn.XLOOKUP(D941,products!$A$1:$A$49,products!$C$1:$C$49,,0)</f>
        <v>L</v>
      </c>
      <c r="K941" s="7">
        <f>_xlfn.XLOOKUP(D941,products!$A$1:$A$49,products!$D$1:$D$49,,0)</f>
        <v>0.2</v>
      </c>
      <c r="L941" s="9">
        <f>_xlfn.XLOOKUP(D941,products!$A$1:$A$49,products!$E$1:$E$49,,0)</f>
        <v>4.7549999999999999</v>
      </c>
      <c r="M941" s="9">
        <f t="shared" si="14"/>
        <v>28.53</v>
      </c>
      <c r="N941" s="3" t="str" cm="1">
        <f t="array" ref="N941">_xlfn.SWITCH(I941,
"Rob","Robusta",
"Exc","Excelsa",
"Ara","Arabica",
"Lib","Liberica",
"")</f>
        <v>Liberica</v>
      </c>
      <c r="O941" t="str" cm="1">
        <f t="array" ref="O941">_xlfn.SWITCH(J941,
"M","Medium",
"L","Light",
"D","Dark",
"")</f>
        <v>Light</v>
      </c>
      <c r="P941" t="str">
        <f>_xlfn.XLOOKUP(Orders[[#This Row],[Customer ID]],customers!$A$1:$A$1001,customers!$I$1:$I$1001,,0)</f>
        <v>No</v>
      </c>
    </row>
    <row r="942" spans="1:16" x14ac:dyDescent="0.35">
      <c r="A942" s="2" t="s">
        <v>5803</v>
      </c>
      <c r="B942" s="4">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_xlfn.XLOOKUP(D942,products!$A$1:$A$49,products!$B$1:$B$49,,0)</f>
        <v>Rob</v>
      </c>
      <c r="J942" t="str">
        <f>_xlfn.XLOOKUP(D942,products!$A$1:$A$49,products!$C$1:$C$49,,0)</f>
        <v>L</v>
      </c>
      <c r="K942" s="7">
        <f>_xlfn.XLOOKUP(D942,products!$A$1:$A$49,products!$D$1:$D$49,,0)</f>
        <v>0.5</v>
      </c>
      <c r="L942" s="9">
        <f>_xlfn.XLOOKUP(D942,products!$A$1:$A$49,products!$E$1:$E$49,,0)</f>
        <v>7.169999999999999</v>
      </c>
      <c r="M942" s="9">
        <f t="shared" si="14"/>
        <v>14.339999999999998</v>
      </c>
      <c r="N942" s="3" t="str" cm="1">
        <f t="array" ref="N942">_xlfn.SWITCH(I942,
"Rob","Robusta",
"Exc","Excelsa",
"Ara","Arabica",
"Lib","Liberica",
"")</f>
        <v>Robusta</v>
      </c>
      <c r="O942" t="str" cm="1">
        <f t="array" ref="O942">_xlfn.SWITCH(J942,
"M","Medium",
"L","Light",
"D","Dark",
"")</f>
        <v>Light</v>
      </c>
      <c r="P942" t="str">
        <f>_xlfn.XLOOKUP(Orders[[#This Row],[Customer ID]],customers!$A$1:$A$1001,customers!$I$1:$I$1001,,0)</f>
        <v>Yes</v>
      </c>
    </row>
    <row r="943" spans="1:16" x14ac:dyDescent="0.35">
      <c r="A943" s="2" t="s">
        <v>5809</v>
      </c>
      <c r="B943" s="4">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_xlfn.XLOOKUP(D943,products!$A$1:$A$49,products!$B$1:$B$49,,0)</f>
        <v>Ara</v>
      </c>
      <c r="J943" t="str">
        <f>_xlfn.XLOOKUP(D943,products!$A$1:$A$49,products!$C$1:$C$49,,0)</f>
        <v>L</v>
      </c>
      <c r="K943" s="7">
        <f>_xlfn.XLOOKUP(D943,products!$A$1:$A$49,products!$D$1:$D$49,,0)</f>
        <v>0.5</v>
      </c>
      <c r="L943" s="9">
        <f>_xlfn.XLOOKUP(D943,products!$A$1:$A$49,products!$E$1:$E$49,,0)</f>
        <v>7.77</v>
      </c>
      <c r="M943" s="9">
        <f t="shared" si="14"/>
        <v>15.54</v>
      </c>
      <c r="N943" s="3" t="str" cm="1">
        <f t="array" ref="N943">_xlfn.SWITCH(I943,
"Rob","Robusta",
"Exc","Excelsa",
"Ara","Arabica",
"Lib","Liberica",
"")</f>
        <v>Arabica</v>
      </c>
      <c r="O943" t="str" cm="1">
        <f t="array" ref="O943">_xlfn.SWITCH(J943,
"M","Medium",
"L","Light",
"D","Dark",
"")</f>
        <v>Light</v>
      </c>
      <c r="P943" t="str">
        <f>_xlfn.XLOOKUP(Orders[[#This Row],[Customer ID]],customers!$A$1:$A$1001,customers!$I$1:$I$1001,,0)</f>
        <v>Yes</v>
      </c>
    </row>
    <row r="944" spans="1:16" x14ac:dyDescent="0.35">
      <c r="A944" s="2" t="s">
        <v>5816</v>
      </c>
      <c r="B944" s="4">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_xlfn.XLOOKUP(D944,products!$A$1:$A$49,products!$B$1:$B$49,,0)</f>
        <v>Rob</v>
      </c>
      <c r="J944" t="str">
        <f>_xlfn.XLOOKUP(D944,products!$A$1:$A$49,products!$C$1:$C$49,,0)</f>
        <v>L</v>
      </c>
      <c r="K944" s="7">
        <f>_xlfn.XLOOKUP(D944,products!$A$1:$A$49,products!$D$1:$D$49,,0)</f>
        <v>1</v>
      </c>
      <c r="L944" s="9">
        <f>_xlfn.XLOOKUP(D944,products!$A$1:$A$49,products!$E$1:$E$49,,0)</f>
        <v>11.95</v>
      </c>
      <c r="M944" s="9">
        <f t="shared" si="14"/>
        <v>35.849999999999994</v>
      </c>
      <c r="N944" s="3" t="str" cm="1">
        <f t="array" ref="N944">_xlfn.SWITCH(I944,
"Rob","Robusta",
"Exc","Excelsa",
"Ara","Arabica",
"Lib","Liberica",
"")</f>
        <v>Robusta</v>
      </c>
      <c r="O944" t="str" cm="1">
        <f t="array" ref="O944">_xlfn.SWITCH(J944,
"M","Medium",
"L","Light",
"D","Dark",
"")</f>
        <v>Light</v>
      </c>
      <c r="P944" t="str">
        <f>_xlfn.XLOOKUP(Orders[[#This Row],[Customer ID]],customers!$A$1:$A$1001,customers!$I$1:$I$1001,,0)</f>
        <v>No</v>
      </c>
    </row>
    <row r="945" spans="1:16" x14ac:dyDescent="0.35">
      <c r="A945" s="2" t="s">
        <v>5822</v>
      </c>
      <c r="B945" s="4">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_xlfn.XLOOKUP(D945,products!$A$1:$A$49,products!$B$1:$B$49,,0)</f>
        <v>Ara</v>
      </c>
      <c r="J945" t="str">
        <f>_xlfn.XLOOKUP(D945,products!$A$1:$A$49,products!$C$1:$C$49,,0)</f>
        <v>L</v>
      </c>
      <c r="K945" s="7">
        <f>_xlfn.XLOOKUP(D945,products!$A$1:$A$49,products!$D$1:$D$49,,0)</f>
        <v>0.5</v>
      </c>
      <c r="L945" s="9">
        <f>_xlfn.XLOOKUP(D945,products!$A$1:$A$49,products!$E$1:$E$49,,0)</f>
        <v>7.77</v>
      </c>
      <c r="M945" s="9">
        <f t="shared" si="14"/>
        <v>46.62</v>
      </c>
      <c r="N945" s="3" t="str" cm="1">
        <f t="array" ref="N945">_xlfn.SWITCH(I945,
"Rob","Robusta",
"Exc","Excelsa",
"Ara","Arabica",
"Lib","Liberica",
"")</f>
        <v>Arabica</v>
      </c>
      <c r="O945" t="str" cm="1">
        <f t="array" ref="O945">_xlfn.SWITCH(J945,
"M","Medium",
"L","Light",
"D","Dark",
"")</f>
        <v>Light</v>
      </c>
      <c r="P945" t="str">
        <f>_xlfn.XLOOKUP(Orders[[#This Row],[Customer ID]],customers!$A$1:$A$1001,customers!$I$1:$I$1001,,0)</f>
        <v>No</v>
      </c>
    </row>
    <row r="946" spans="1:16" x14ac:dyDescent="0.35">
      <c r="A946" s="2" t="s">
        <v>5828</v>
      </c>
      <c r="B946" s="4">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_xlfn.XLOOKUP(D946,products!$A$1:$A$49,products!$B$1:$B$49,,0)</f>
        <v>Rob</v>
      </c>
      <c r="J946" t="str">
        <f>_xlfn.XLOOKUP(D946,products!$A$1:$A$49,products!$C$1:$C$49,,0)</f>
        <v>L</v>
      </c>
      <c r="K946" s="7">
        <f>_xlfn.XLOOKUP(D946,products!$A$1:$A$49,products!$D$1:$D$49,,0)</f>
        <v>0.5</v>
      </c>
      <c r="L946" s="9">
        <f>_xlfn.XLOOKUP(D946,products!$A$1:$A$49,products!$E$1:$E$49,,0)</f>
        <v>7.169999999999999</v>
      </c>
      <c r="M946" s="9">
        <f t="shared" si="14"/>
        <v>35.849999999999994</v>
      </c>
      <c r="N946" s="3" t="str" cm="1">
        <f t="array" ref="N946">_xlfn.SWITCH(I946,
"Rob","Robusta",
"Exc","Excelsa",
"Ara","Arabica",
"Lib","Liberica",
"")</f>
        <v>Robusta</v>
      </c>
      <c r="O946" t="str" cm="1">
        <f t="array" ref="O946">_xlfn.SWITCH(J946,
"M","Medium",
"L","Light",
"D","Dark",
"")</f>
        <v>Light</v>
      </c>
      <c r="P946" t="str">
        <f>_xlfn.XLOOKUP(Orders[[#This Row],[Customer ID]],customers!$A$1:$A$1001,customers!$I$1:$I$1001,,0)</f>
        <v>No</v>
      </c>
    </row>
    <row r="947" spans="1:16" x14ac:dyDescent="0.35">
      <c r="A947" s="2" t="s">
        <v>5834</v>
      </c>
      <c r="B947" s="4">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_xlfn.XLOOKUP(D947,products!$A$1:$A$49,products!$B$1:$B$49,,0)</f>
        <v>Lib</v>
      </c>
      <c r="J947" t="str">
        <f>_xlfn.XLOOKUP(D947,products!$A$1:$A$49,products!$C$1:$C$49,,0)</f>
        <v>D</v>
      </c>
      <c r="K947" s="7">
        <f>_xlfn.XLOOKUP(D947,products!$A$1:$A$49,products!$D$1:$D$49,,0)</f>
        <v>2.5</v>
      </c>
      <c r="L947" s="9">
        <f>_xlfn.XLOOKUP(D947,products!$A$1:$A$49,products!$E$1:$E$49,,0)</f>
        <v>29.784999999999997</v>
      </c>
      <c r="M947" s="9">
        <f t="shared" si="14"/>
        <v>119.13999999999999</v>
      </c>
      <c r="N947" s="3" t="str" cm="1">
        <f t="array" ref="N947">_xlfn.SWITCH(I947,
"Rob","Robusta",
"Exc","Excelsa",
"Ara","Arabica",
"Lib","Liberica",
"")</f>
        <v>Liberica</v>
      </c>
      <c r="O947" t="str" cm="1">
        <f t="array" ref="O947">_xlfn.SWITCH(J947,
"M","Medium",
"L","Light",
"D","Dark",
"")</f>
        <v>Dark</v>
      </c>
      <c r="P947" t="str">
        <f>_xlfn.XLOOKUP(Orders[[#This Row],[Customer ID]],customers!$A$1:$A$1001,customers!$I$1:$I$1001,,0)</f>
        <v>No</v>
      </c>
    </row>
    <row r="948" spans="1:16" x14ac:dyDescent="0.35">
      <c r="A948" s="2" t="s">
        <v>5839</v>
      </c>
      <c r="B948" s="4">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_xlfn.XLOOKUP(D948,products!$A$1:$A$49,products!$B$1:$B$49,,0)</f>
        <v>Lib</v>
      </c>
      <c r="J948" t="str">
        <f>_xlfn.XLOOKUP(D948,products!$A$1:$A$49,products!$C$1:$C$49,,0)</f>
        <v>D</v>
      </c>
      <c r="K948" s="7">
        <f>_xlfn.XLOOKUP(D948,products!$A$1:$A$49,products!$D$1:$D$49,,0)</f>
        <v>0.5</v>
      </c>
      <c r="L948" s="9">
        <f>_xlfn.XLOOKUP(D948,products!$A$1:$A$49,products!$E$1:$E$49,,0)</f>
        <v>7.77</v>
      </c>
      <c r="M948" s="9">
        <f t="shared" si="14"/>
        <v>23.31</v>
      </c>
      <c r="N948" s="3" t="str" cm="1">
        <f t="array" ref="N948">_xlfn.SWITCH(I948,
"Rob","Robusta",
"Exc","Excelsa",
"Ara","Arabica",
"Lib","Liberica",
"")</f>
        <v>Liberica</v>
      </c>
      <c r="O948" t="str" cm="1">
        <f t="array" ref="O948">_xlfn.SWITCH(J948,
"M","Medium",
"L","Light",
"D","Dark",
"")</f>
        <v>Dark</v>
      </c>
      <c r="P948" t="str">
        <f>_xlfn.XLOOKUP(Orders[[#This Row],[Customer ID]],customers!$A$1:$A$1001,customers!$I$1:$I$1001,,0)</f>
        <v>No</v>
      </c>
    </row>
    <row r="949" spans="1:16" x14ac:dyDescent="0.35">
      <c r="A949" s="2" t="s">
        <v>5844</v>
      </c>
      <c r="B949" s="4">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_xlfn.XLOOKUP(D949,products!$A$1:$A$49,products!$B$1:$B$49,,0)</f>
        <v>Ara</v>
      </c>
      <c r="J949" t="str">
        <f>_xlfn.XLOOKUP(D949,products!$A$1:$A$49,products!$C$1:$C$49,,0)</f>
        <v>M</v>
      </c>
      <c r="K949" s="7">
        <f>_xlfn.XLOOKUP(D949,products!$A$1:$A$49,products!$D$1:$D$49,,0)</f>
        <v>1</v>
      </c>
      <c r="L949" s="9">
        <f>_xlfn.XLOOKUP(D949,products!$A$1:$A$49,products!$E$1:$E$49,,0)</f>
        <v>11.25</v>
      </c>
      <c r="M949" s="9">
        <f t="shared" si="14"/>
        <v>11.25</v>
      </c>
      <c r="N949" s="3" t="str" cm="1">
        <f t="array" ref="N949">_xlfn.SWITCH(I949,
"Rob","Robusta",
"Exc","Excelsa",
"Ara","Arabica",
"Lib","Liberica",
"")</f>
        <v>Arabica</v>
      </c>
      <c r="O949" t="str" cm="1">
        <f t="array" ref="O949">_xlfn.SWITCH(J949,
"M","Medium",
"L","Light",
"D","Dark",
"")</f>
        <v>Medium</v>
      </c>
      <c r="P949" t="str">
        <f>_xlfn.XLOOKUP(Orders[[#This Row],[Customer ID]],customers!$A$1:$A$1001,customers!$I$1:$I$1001,,0)</f>
        <v>No</v>
      </c>
    </row>
    <row r="950" spans="1:16" x14ac:dyDescent="0.35">
      <c r="A950" s="2" t="s">
        <v>5849</v>
      </c>
      <c r="B950" s="4">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_xlfn.XLOOKUP(D950,products!$A$1:$A$49,products!$B$1:$B$49,,0)</f>
        <v>Exc</v>
      </c>
      <c r="J950" t="str">
        <f>_xlfn.XLOOKUP(D950,products!$A$1:$A$49,products!$C$1:$C$49,,0)</f>
        <v>D</v>
      </c>
      <c r="K950" s="7">
        <f>_xlfn.XLOOKUP(D950,products!$A$1:$A$49,products!$D$1:$D$49,,0)</f>
        <v>2.5</v>
      </c>
      <c r="L950" s="9">
        <f>_xlfn.XLOOKUP(D950,products!$A$1:$A$49,products!$E$1:$E$49,,0)</f>
        <v>27.945</v>
      </c>
      <c r="M950" s="9">
        <f t="shared" si="14"/>
        <v>83.835000000000008</v>
      </c>
      <c r="N950" s="3" t="str" cm="1">
        <f t="array" ref="N950">_xlfn.SWITCH(I950,
"Rob","Robusta",
"Exc","Excelsa",
"Ara","Arabica",
"Lib","Liberica",
"")</f>
        <v>Excelsa</v>
      </c>
      <c r="O950" t="str" cm="1">
        <f t="array" ref="O950">_xlfn.SWITCH(J950,
"M","Medium",
"L","Light",
"D","Dark",
"")</f>
        <v>Dark</v>
      </c>
      <c r="P950" t="str">
        <f>_xlfn.XLOOKUP(Orders[[#This Row],[Customer ID]],customers!$A$1:$A$1001,customers!$I$1:$I$1001,,0)</f>
        <v>Yes</v>
      </c>
    </row>
    <row r="951" spans="1:16" x14ac:dyDescent="0.35">
      <c r="A951" s="2" t="s">
        <v>5855</v>
      </c>
      <c r="B951" s="4">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_xlfn.XLOOKUP(D951,products!$A$1:$A$49,products!$B$1:$B$49,,0)</f>
        <v>Rob</v>
      </c>
      <c r="J951" t="str">
        <f>_xlfn.XLOOKUP(D951,products!$A$1:$A$49,products!$C$1:$C$49,,0)</f>
        <v>L</v>
      </c>
      <c r="K951" s="7">
        <f>_xlfn.XLOOKUP(D951,products!$A$1:$A$49,products!$D$1:$D$49,,0)</f>
        <v>2.5</v>
      </c>
      <c r="L951" s="9">
        <f>_xlfn.XLOOKUP(D951,products!$A$1:$A$49,products!$E$1:$E$49,,0)</f>
        <v>27.484999999999996</v>
      </c>
      <c r="M951" s="9">
        <f t="shared" si="14"/>
        <v>109.93999999999998</v>
      </c>
      <c r="N951" s="3" t="str" cm="1">
        <f t="array" ref="N951">_xlfn.SWITCH(I951,
"Rob","Robusta",
"Exc","Excelsa",
"Ara","Arabica",
"Lib","Liberica",
"")</f>
        <v>Robusta</v>
      </c>
      <c r="O951" t="str" cm="1">
        <f t="array" ref="O951">_xlfn.SWITCH(J951,
"M","Medium",
"L","Light",
"D","Dark",
"")</f>
        <v>Light</v>
      </c>
      <c r="P951" t="str">
        <f>_xlfn.XLOOKUP(Orders[[#This Row],[Customer ID]],customers!$A$1:$A$1001,customers!$I$1:$I$1001,,0)</f>
        <v>No</v>
      </c>
    </row>
    <row r="952" spans="1:16" x14ac:dyDescent="0.35">
      <c r="A952" s="2" t="s">
        <v>5861</v>
      </c>
      <c r="B952" s="4">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_xlfn.XLOOKUP(D952,products!$A$1:$A$49,products!$B$1:$B$49,,0)</f>
        <v>Rob</v>
      </c>
      <c r="J952" t="str">
        <f>_xlfn.XLOOKUP(D952,products!$A$1:$A$49,products!$C$1:$C$49,,0)</f>
        <v>L</v>
      </c>
      <c r="K952" s="7">
        <f>_xlfn.XLOOKUP(D952,products!$A$1:$A$49,products!$D$1:$D$49,,0)</f>
        <v>0.2</v>
      </c>
      <c r="L952" s="9">
        <f>_xlfn.XLOOKUP(D952,products!$A$1:$A$49,products!$E$1:$E$49,,0)</f>
        <v>3.5849999999999995</v>
      </c>
      <c r="M952" s="9">
        <f t="shared" si="14"/>
        <v>14.339999999999998</v>
      </c>
      <c r="N952" s="3" t="str" cm="1">
        <f t="array" ref="N952">_xlfn.SWITCH(I952,
"Rob","Robusta",
"Exc","Excelsa",
"Ara","Arabica",
"Lib","Liberica",
"")</f>
        <v>Robusta</v>
      </c>
      <c r="O952" t="str" cm="1">
        <f t="array" ref="O952">_xlfn.SWITCH(J952,
"M","Medium",
"L","Light",
"D","Dark",
"")</f>
        <v>Light</v>
      </c>
      <c r="P952" t="str">
        <f>_xlfn.XLOOKUP(Orders[[#This Row],[Customer ID]],customers!$A$1:$A$1001,customers!$I$1:$I$1001,,0)</f>
        <v>Yes</v>
      </c>
    </row>
    <row r="953" spans="1:16" x14ac:dyDescent="0.35">
      <c r="A953" s="2" t="s">
        <v>5866</v>
      </c>
      <c r="B953" s="4">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_xlfn.XLOOKUP(D953,products!$A$1:$A$49,products!$B$1:$B$49,,0)</f>
        <v>Rob</v>
      </c>
      <c r="J953" t="str">
        <f>_xlfn.XLOOKUP(D953,products!$A$1:$A$49,products!$C$1:$C$49,,0)</f>
        <v>L</v>
      </c>
      <c r="K953" s="7">
        <f>_xlfn.XLOOKUP(D953,products!$A$1:$A$49,products!$D$1:$D$49,,0)</f>
        <v>0.2</v>
      </c>
      <c r="L953" s="9">
        <f>_xlfn.XLOOKUP(D953,products!$A$1:$A$49,products!$E$1:$E$49,,0)</f>
        <v>3.5849999999999995</v>
      </c>
      <c r="M953" s="9">
        <f t="shared" si="14"/>
        <v>21.509999999999998</v>
      </c>
      <c r="N953" s="3" t="str" cm="1">
        <f t="array" ref="N953">_xlfn.SWITCH(I953,
"Rob","Robusta",
"Exc","Excelsa",
"Ara","Arabica",
"Lib","Liberica",
"")</f>
        <v>Robusta</v>
      </c>
      <c r="O953" t="str" cm="1">
        <f t="array" ref="O953">_xlfn.SWITCH(J953,
"M","Medium",
"L","Light",
"D","Dark",
"")</f>
        <v>Light</v>
      </c>
      <c r="P953" t="str">
        <f>_xlfn.XLOOKUP(Orders[[#This Row],[Customer ID]],customers!$A$1:$A$1001,customers!$I$1:$I$1001,,0)</f>
        <v>No</v>
      </c>
    </row>
    <row r="954" spans="1:16" x14ac:dyDescent="0.35">
      <c r="A954" s="2" t="s">
        <v>5872</v>
      </c>
      <c r="B954" s="4">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_xlfn.XLOOKUP(D954,products!$A$1:$A$49,products!$B$1:$B$49,,0)</f>
        <v>Ara</v>
      </c>
      <c r="J954" t="str">
        <f>_xlfn.XLOOKUP(D954,products!$A$1:$A$49,products!$C$1:$C$49,,0)</f>
        <v>M</v>
      </c>
      <c r="K954" s="7">
        <f>_xlfn.XLOOKUP(D954,products!$A$1:$A$49,products!$D$1:$D$49,,0)</f>
        <v>1</v>
      </c>
      <c r="L954" s="9">
        <f>_xlfn.XLOOKUP(D954,products!$A$1:$A$49,products!$E$1:$E$49,,0)</f>
        <v>11.25</v>
      </c>
      <c r="M954" s="9">
        <f t="shared" si="14"/>
        <v>22.5</v>
      </c>
      <c r="N954" s="3" t="str" cm="1">
        <f t="array" ref="N954">_xlfn.SWITCH(I954,
"Rob","Robusta",
"Exc","Excelsa",
"Ara","Arabica",
"Lib","Liberica",
"")</f>
        <v>Arabica</v>
      </c>
      <c r="O954" t="str" cm="1">
        <f t="array" ref="O954">_xlfn.SWITCH(J954,
"M","Medium",
"L","Light",
"D","Dark",
"")</f>
        <v>Medium</v>
      </c>
      <c r="P954" t="str">
        <f>_xlfn.XLOOKUP(Orders[[#This Row],[Customer ID]],customers!$A$1:$A$1001,customers!$I$1:$I$1001,,0)</f>
        <v>Yes</v>
      </c>
    </row>
    <row r="955" spans="1:16" x14ac:dyDescent="0.35">
      <c r="A955" s="2" t="s">
        <v>5878</v>
      </c>
      <c r="B955" s="4">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_xlfn.XLOOKUP(D955,products!$A$1:$A$49,products!$B$1:$B$49,,0)</f>
        <v>Ara</v>
      </c>
      <c r="J955" t="str">
        <f>_xlfn.XLOOKUP(D955,products!$A$1:$A$49,products!$C$1:$C$49,,0)</f>
        <v>L</v>
      </c>
      <c r="K955" s="7">
        <f>_xlfn.XLOOKUP(D955,products!$A$1:$A$49,products!$D$1:$D$49,,0)</f>
        <v>0.2</v>
      </c>
      <c r="L955" s="9">
        <f>_xlfn.XLOOKUP(D955,products!$A$1:$A$49,products!$E$1:$E$49,,0)</f>
        <v>3.8849999999999998</v>
      </c>
      <c r="M955" s="9">
        <f t="shared" si="14"/>
        <v>3.8849999999999998</v>
      </c>
      <c r="N955" s="3" t="str" cm="1">
        <f t="array" ref="N955">_xlfn.SWITCH(I955,
"Rob","Robusta",
"Exc","Excelsa",
"Ara","Arabica",
"Lib","Liberica",
"")</f>
        <v>Arabica</v>
      </c>
      <c r="O955" t="str" cm="1">
        <f t="array" ref="O955">_xlfn.SWITCH(J955,
"M","Medium",
"L","Light",
"D","Dark",
"")</f>
        <v>Light</v>
      </c>
      <c r="P955" t="str">
        <f>_xlfn.XLOOKUP(Orders[[#This Row],[Customer ID]],customers!$A$1:$A$1001,customers!$I$1:$I$1001,,0)</f>
        <v>Yes</v>
      </c>
    </row>
    <row r="956" spans="1:16" x14ac:dyDescent="0.35">
      <c r="A956" s="2" t="s">
        <v>5884</v>
      </c>
      <c r="B956" s="4">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_xlfn.XLOOKUP(D956,products!$A$1:$A$49,products!$B$1:$B$49,,0)</f>
        <v>Exc</v>
      </c>
      <c r="J956" t="str">
        <f>_xlfn.XLOOKUP(D956,products!$A$1:$A$49,products!$C$1:$C$49,,0)</f>
        <v>D</v>
      </c>
      <c r="K956" s="7">
        <f>_xlfn.XLOOKUP(D956,products!$A$1:$A$49,products!$D$1:$D$49,,0)</f>
        <v>2.5</v>
      </c>
      <c r="L956" s="9">
        <f>_xlfn.XLOOKUP(D956,products!$A$1:$A$49,products!$E$1:$E$49,,0)</f>
        <v>27.945</v>
      </c>
      <c r="M956" s="9">
        <f t="shared" si="14"/>
        <v>27.945</v>
      </c>
      <c r="N956" s="3" t="str" cm="1">
        <f t="array" ref="N956">_xlfn.SWITCH(I956,
"Rob","Robusta",
"Exc","Excelsa",
"Ara","Arabica",
"Lib","Liberica",
"")</f>
        <v>Excelsa</v>
      </c>
      <c r="O956" t="str" cm="1">
        <f t="array" ref="O956">_xlfn.SWITCH(J956,
"M","Medium",
"L","Light",
"D","Dark",
"")</f>
        <v>Dark</v>
      </c>
      <c r="P956" t="str">
        <f>_xlfn.XLOOKUP(Orders[[#This Row],[Customer ID]],customers!$A$1:$A$1001,customers!$I$1:$I$1001,,0)</f>
        <v>Yes</v>
      </c>
    </row>
    <row r="957" spans="1:16" x14ac:dyDescent="0.35">
      <c r="A957" s="2" t="s">
        <v>5890</v>
      </c>
      <c r="B957" s="4">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_xlfn.XLOOKUP(D957,products!$A$1:$A$49,products!$B$1:$B$49,,0)</f>
        <v>Exc</v>
      </c>
      <c r="J957" t="str">
        <f>_xlfn.XLOOKUP(D957,products!$A$1:$A$49,products!$C$1:$C$49,,0)</f>
        <v>L</v>
      </c>
      <c r="K957" s="7">
        <f>_xlfn.XLOOKUP(D957,products!$A$1:$A$49,products!$D$1:$D$49,,0)</f>
        <v>2.5</v>
      </c>
      <c r="L957" s="9">
        <f>_xlfn.XLOOKUP(D957,products!$A$1:$A$49,products!$E$1:$E$49,,0)</f>
        <v>34.154999999999994</v>
      </c>
      <c r="M957" s="9">
        <f t="shared" si="14"/>
        <v>170.77499999999998</v>
      </c>
      <c r="N957" s="3" t="str" cm="1">
        <f t="array" ref="N957">_xlfn.SWITCH(I957,
"Rob","Robusta",
"Exc","Excelsa",
"Ara","Arabica",
"Lib","Liberica",
"")</f>
        <v>Excelsa</v>
      </c>
      <c r="O957" t="str" cm="1">
        <f t="array" ref="O957">_xlfn.SWITCH(J957,
"M","Medium",
"L","Light",
"D","Dark",
"")</f>
        <v>Light</v>
      </c>
      <c r="P957" t="str">
        <f>_xlfn.XLOOKUP(Orders[[#This Row],[Customer ID]],customers!$A$1:$A$1001,customers!$I$1:$I$1001,,0)</f>
        <v>Yes</v>
      </c>
    </row>
    <row r="958" spans="1:16" x14ac:dyDescent="0.35">
      <c r="A958" s="2" t="s">
        <v>5890</v>
      </c>
      <c r="B958" s="4">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_xlfn.XLOOKUP(D958,products!$A$1:$A$49,products!$B$1:$B$49,,0)</f>
        <v>Rob</v>
      </c>
      <c r="J958" t="str">
        <f>_xlfn.XLOOKUP(D958,products!$A$1:$A$49,products!$C$1:$C$49,,0)</f>
        <v>L</v>
      </c>
      <c r="K958" s="7">
        <f>_xlfn.XLOOKUP(D958,products!$A$1:$A$49,products!$D$1:$D$49,,0)</f>
        <v>2.5</v>
      </c>
      <c r="L958" s="9">
        <f>_xlfn.XLOOKUP(D958,products!$A$1:$A$49,products!$E$1:$E$49,,0)</f>
        <v>27.484999999999996</v>
      </c>
      <c r="M958" s="9">
        <f t="shared" si="14"/>
        <v>54.969999999999992</v>
      </c>
      <c r="N958" s="3" t="str" cm="1">
        <f t="array" ref="N958">_xlfn.SWITCH(I958,
"Rob","Robusta",
"Exc","Excelsa",
"Ara","Arabica",
"Lib","Liberica",
"")</f>
        <v>Robusta</v>
      </c>
      <c r="O958" t="str" cm="1">
        <f t="array" ref="O958">_xlfn.SWITCH(J958,
"M","Medium",
"L","Light",
"D","Dark",
"")</f>
        <v>Light</v>
      </c>
      <c r="P958" t="str">
        <f>_xlfn.XLOOKUP(Orders[[#This Row],[Customer ID]],customers!$A$1:$A$1001,customers!$I$1:$I$1001,,0)</f>
        <v>Yes</v>
      </c>
    </row>
    <row r="959" spans="1:16" x14ac:dyDescent="0.35">
      <c r="A959" s="2" t="s">
        <v>5890</v>
      </c>
      <c r="B959" s="4">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_xlfn.XLOOKUP(D959,products!$A$1:$A$49,products!$B$1:$B$49,,0)</f>
        <v>Exc</v>
      </c>
      <c r="J959" t="str">
        <f>_xlfn.XLOOKUP(D959,products!$A$1:$A$49,products!$C$1:$C$49,,0)</f>
        <v>L</v>
      </c>
      <c r="K959" s="7">
        <f>_xlfn.XLOOKUP(D959,products!$A$1:$A$49,products!$D$1:$D$49,,0)</f>
        <v>1</v>
      </c>
      <c r="L959" s="9">
        <f>_xlfn.XLOOKUP(D959,products!$A$1:$A$49,products!$E$1:$E$49,,0)</f>
        <v>14.85</v>
      </c>
      <c r="M959" s="9">
        <f t="shared" si="14"/>
        <v>14.85</v>
      </c>
      <c r="N959" s="3" t="str" cm="1">
        <f t="array" ref="N959">_xlfn.SWITCH(I959,
"Rob","Robusta",
"Exc","Excelsa",
"Ara","Arabica",
"Lib","Liberica",
"")</f>
        <v>Excelsa</v>
      </c>
      <c r="O959" t="str" cm="1">
        <f t="array" ref="O959">_xlfn.SWITCH(J959,
"M","Medium",
"L","Light",
"D","Dark",
"")</f>
        <v>Light</v>
      </c>
      <c r="P959" t="str">
        <f>_xlfn.XLOOKUP(Orders[[#This Row],[Customer ID]],customers!$A$1:$A$1001,customers!$I$1:$I$1001,,0)</f>
        <v>Yes</v>
      </c>
    </row>
    <row r="960" spans="1:16" x14ac:dyDescent="0.35">
      <c r="A960" s="2" t="s">
        <v>5890</v>
      </c>
      <c r="B960" s="4">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_xlfn.XLOOKUP(D960,products!$A$1:$A$49,products!$B$1:$B$49,,0)</f>
        <v>Ara</v>
      </c>
      <c r="J960" t="str">
        <f>_xlfn.XLOOKUP(D960,products!$A$1:$A$49,products!$C$1:$C$49,,0)</f>
        <v>L</v>
      </c>
      <c r="K960" s="7">
        <f>_xlfn.XLOOKUP(D960,products!$A$1:$A$49,products!$D$1:$D$49,,0)</f>
        <v>0.2</v>
      </c>
      <c r="L960" s="9">
        <f>_xlfn.XLOOKUP(D960,products!$A$1:$A$49,products!$E$1:$E$49,,0)</f>
        <v>3.8849999999999998</v>
      </c>
      <c r="M960" s="9">
        <f t="shared" si="14"/>
        <v>7.77</v>
      </c>
      <c r="N960" s="3" t="str" cm="1">
        <f t="array" ref="N960">_xlfn.SWITCH(I960,
"Rob","Robusta",
"Exc","Excelsa",
"Ara","Arabica",
"Lib","Liberica",
"")</f>
        <v>Arabica</v>
      </c>
      <c r="O960" t="str" cm="1">
        <f t="array" ref="O960">_xlfn.SWITCH(J960,
"M","Medium",
"L","Light",
"D","Dark",
"")</f>
        <v>Light</v>
      </c>
      <c r="P960" t="str">
        <f>_xlfn.XLOOKUP(Orders[[#This Row],[Customer ID]],customers!$A$1:$A$1001,customers!$I$1:$I$1001,,0)</f>
        <v>Yes</v>
      </c>
    </row>
    <row r="961" spans="1:16" x14ac:dyDescent="0.35">
      <c r="A961" s="2" t="s">
        <v>5910</v>
      </c>
      <c r="B961" s="4">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_xlfn.XLOOKUP(D961,products!$A$1:$A$49,products!$B$1:$B$49,,0)</f>
        <v>Lib</v>
      </c>
      <c r="J961" t="str">
        <f>_xlfn.XLOOKUP(D961,products!$A$1:$A$49,products!$C$1:$C$49,,0)</f>
        <v>L</v>
      </c>
      <c r="K961" s="7">
        <f>_xlfn.XLOOKUP(D961,products!$A$1:$A$49,products!$D$1:$D$49,,0)</f>
        <v>0.2</v>
      </c>
      <c r="L961" s="9">
        <f>_xlfn.XLOOKUP(D961,products!$A$1:$A$49,products!$E$1:$E$49,,0)</f>
        <v>4.7549999999999999</v>
      </c>
      <c r="M961" s="9">
        <f t="shared" si="14"/>
        <v>23.774999999999999</v>
      </c>
      <c r="N961" s="3" t="str" cm="1">
        <f t="array" ref="N961">_xlfn.SWITCH(I961,
"Rob","Robusta",
"Exc","Excelsa",
"Ara","Arabica",
"Lib","Liberica",
"")</f>
        <v>Liberica</v>
      </c>
      <c r="O961" t="str" cm="1">
        <f t="array" ref="O961">_xlfn.SWITCH(J961,
"M","Medium",
"L","Light",
"D","Dark",
"")</f>
        <v>Light</v>
      </c>
      <c r="P961" t="str">
        <f>_xlfn.XLOOKUP(Orders[[#This Row],[Customer ID]],customers!$A$1:$A$1001,customers!$I$1:$I$1001,,0)</f>
        <v>Yes</v>
      </c>
    </row>
    <row r="962" spans="1:16" x14ac:dyDescent="0.35">
      <c r="A962" s="2" t="s">
        <v>5915</v>
      </c>
      <c r="B962" s="4">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_xlfn.XLOOKUP(D962,products!$A$1:$A$49,products!$B$1:$B$49,,0)</f>
        <v>Lib</v>
      </c>
      <c r="J962" t="str">
        <f>_xlfn.XLOOKUP(D962,products!$A$1:$A$49,products!$C$1:$C$49,,0)</f>
        <v>L</v>
      </c>
      <c r="K962" s="7">
        <f>_xlfn.XLOOKUP(D962,products!$A$1:$A$49,products!$D$1:$D$49,,0)</f>
        <v>1</v>
      </c>
      <c r="L962" s="9">
        <f>_xlfn.XLOOKUP(D962,products!$A$1:$A$49,products!$E$1:$E$49,,0)</f>
        <v>15.85</v>
      </c>
      <c r="M962" s="9">
        <f t="shared" si="14"/>
        <v>79.25</v>
      </c>
      <c r="N962" s="3" t="str" cm="1">
        <f t="array" ref="N962">_xlfn.SWITCH(I962,
"Rob","Robusta",
"Exc","Excelsa",
"Ara","Arabica",
"Lib","Liberica",
"")</f>
        <v>Liberica</v>
      </c>
      <c r="O962" t="str" cm="1">
        <f t="array" ref="O962">_xlfn.SWITCH(J962,
"M","Medium",
"L","Light",
"D","Dark",
"")</f>
        <v>Light</v>
      </c>
      <c r="P962" t="str">
        <f>_xlfn.XLOOKUP(Orders[[#This Row],[Customer ID]],customers!$A$1:$A$1001,customers!$I$1:$I$1001,,0)</f>
        <v>Yes</v>
      </c>
    </row>
    <row r="963" spans="1:16" x14ac:dyDescent="0.35">
      <c r="A963" s="2" t="s">
        <v>5921</v>
      </c>
      <c r="B963" s="4">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_xlfn.XLOOKUP(D963,products!$A$1:$A$49,products!$B$1:$B$49,,0)</f>
        <v>Ara</v>
      </c>
      <c r="J963" t="str">
        <f>_xlfn.XLOOKUP(D963,products!$A$1:$A$49,products!$C$1:$C$49,,0)</f>
        <v>D</v>
      </c>
      <c r="K963" s="7">
        <f>_xlfn.XLOOKUP(D963,products!$A$1:$A$49,products!$D$1:$D$49,,0)</f>
        <v>2.5</v>
      </c>
      <c r="L963" s="9">
        <f>_xlfn.XLOOKUP(D963,products!$A$1:$A$49,products!$E$1:$E$49,,0)</f>
        <v>22.884999999999998</v>
      </c>
      <c r="M963" s="9">
        <f t="shared" ref="M963:M1001" si="15">L963*E963</f>
        <v>45.769999999999996</v>
      </c>
      <c r="N963" s="3" t="str" cm="1">
        <f t="array" ref="N963">_xlfn.SWITCH(I963,
"Rob","Robusta",
"Exc","Excelsa",
"Ara","Arabica",
"Lib","Liberica",
"")</f>
        <v>Arabica</v>
      </c>
      <c r="O963" t="str" cm="1">
        <f t="array" ref="O963">_xlfn.SWITCH(J963,
"M","Medium",
"L","Light",
"D","Dark",
"")</f>
        <v>Dark</v>
      </c>
      <c r="P963" t="str">
        <f>_xlfn.XLOOKUP(Orders[[#This Row],[Customer ID]],customers!$A$1:$A$1001,customers!$I$1:$I$1001,,0)</f>
        <v>Yes</v>
      </c>
    </row>
    <row r="964" spans="1:16" x14ac:dyDescent="0.35">
      <c r="A964" s="2" t="s">
        <v>5926</v>
      </c>
      <c r="B964" s="4">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_xlfn.XLOOKUP(D964,products!$A$1:$A$49,products!$B$1:$B$49,,0)</f>
        <v>Rob</v>
      </c>
      <c r="J964" t="str">
        <f>_xlfn.XLOOKUP(D964,products!$A$1:$A$49,products!$C$1:$C$49,,0)</f>
        <v>D</v>
      </c>
      <c r="K964" s="7">
        <f>_xlfn.XLOOKUP(D964,products!$A$1:$A$49,products!$D$1:$D$49,,0)</f>
        <v>1</v>
      </c>
      <c r="L964" s="9">
        <f>_xlfn.XLOOKUP(D964,products!$A$1:$A$49,products!$E$1:$E$49,,0)</f>
        <v>8.9499999999999993</v>
      </c>
      <c r="M964" s="9">
        <f t="shared" si="15"/>
        <v>8.9499999999999993</v>
      </c>
      <c r="N964" s="3" t="str" cm="1">
        <f t="array" ref="N964">_xlfn.SWITCH(I964,
"Rob","Robusta",
"Exc","Excelsa",
"Ara","Arabica",
"Lib","Liberica",
"")</f>
        <v>Robusta</v>
      </c>
      <c r="O964" t="str" cm="1">
        <f t="array" ref="O964">_xlfn.SWITCH(J964,
"M","Medium",
"L","Light",
"D","Dark",
"")</f>
        <v>Dark</v>
      </c>
      <c r="P964" t="str">
        <f>_xlfn.XLOOKUP(Orders[[#This Row],[Customer ID]],customers!$A$1:$A$1001,customers!$I$1:$I$1001,,0)</f>
        <v>Yes</v>
      </c>
    </row>
    <row r="965" spans="1:16" x14ac:dyDescent="0.35">
      <c r="A965" s="2" t="s">
        <v>5932</v>
      </c>
      <c r="B965" s="4">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_xlfn.XLOOKUP(D965,products!$A$1:$A$49,products!$B$1:$B$49,,0)</f>
        <v>Rob</v>
      </c>
      <c r="J965" t="str">
        <f>_xlfn.XLOOKUP(D965,products!$A$1:$A$49,products!$C$1:$C$49,,0)</f>
        <v>M</v>
      </c>
      <c r="K965" s="7">
        <f>_xlfn.XLOOKUP(D965,products!$A$1:$A$49,products!$D$1:$D$49,,0)</f>
        <v>0.5</v>
      </c>
      <c r="L965" s="9">
        <f>_xlfn.XLOOKUP(D965,products!$A$1:$A$49,products!$E$1:$E$49,,0)</f>
        <v>5.97</v>
      </c>
      <c r="M965" s="9">
        <f t="shared" si="15"/>
        <v>23.88</v>
      </c>
      <c r="N965" s="3" t="str" cm="1">
        <f t="array" ref="N965">_xlfn.SWITCH(I965,
"Rob","Robusta",
"Exc","Excelsa",
"Ara","Arabica",
"Lib","Liberica",
"")</f>
        <v>Robusta</v>
      </c>
      <c r="O965" t="str" cm="1">
        <f t="array" ref="O965">_xlfn.SWITCH(J965,
"M","Medium",
"L","Light",
"D","Dark",
"")</f>
        <v>Medium</v>
      </c>
      <c r="P965" t="str">
        <f>_xlfn.XLOOKUP(Orders[[#This Row],[Customer ID]],customers!$A$1:$A$1001,customers!$I$1:$I$1001,,0)</f>
        <v>Yes</v>
      </c>
    </row>
    <row r="966" spans="1:16" x14ac:dyDescent="0.35">
      <c r="A966" s="2" t="s">
        <v>5938</v>
      </c>
      <c r="B966" s="4">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_xlfn.XLOOKUP(D966,products!$A$1:$A$49,products!$B$1:$B$49,,0)</f>
        <v>Exc</v>
      </c>
      <c r="J966" t="str">
        <f>_xlfn.XLOOKUP(D966,products!$A$1:$A$49,products!$C$1:$C$49,,0)</f>
        <v>L</v>
      </c>
      <c r="K966" s="7">
        <f>_xlfn.XLOOKUP(D966,products!$A$1:$A$49,products!$D$1:$D$49,,0)</f>
        <v>0.2</v>
      </c>
      <c r="L966" s="9">
        <f>_xlfn.XLOOKUP(D966,products!$A$1:$A$49,products!$E$1:$E$49,,0)</f>
        <v>4.4550000000000001</v>
      </c>
      <c r="M966" s="9">
        <f t="shared" si="15"/>
        <v>22.274999999999999</v>
      </c>
      <c r="N966" s="3" t="str" cm="1">
        <f t="array" ref="N966">_xlfn.SWITCH(I966,
"Rob","Robusta",
"Exc","Excelsa",
"Ara","Arabica",
"Lib","Liberica",
"")</f>
        <v>Excelsa</v>
      </c>
      <c r="O966" t="str" cm="1">
        <f t="array" ref="O966">_xlfn.SWITCH(J966,
"M","Medium",
"L","Light",
"D","Dark",
"")</f>
        <v>Light</v>
      </c>
      <c r="P966" t="str">
        <f>_xlfn.XLOOKUP(Orders[[#This Row],[Customer ID]],customers!$A$1:$A$1001,customers!$I$1:$I$1001,,0)</f>
        <v>No</v>
      </c>
    </row>
    <row r="967" spans="1:16" x14ac:dyDescent="0.35">
      <c r="A967" s="2" t="s">
        <v>5944</v>
      </c>
      <c r="B967" s="4">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_xlfn.XLOOKUP(D967,products!$A$1:$A$49,products!$B$1:$B$49,,0)</f>
        <v>Rob</v>
      </c>
      <c r="J967" t="str">
        <f>_xlfn.XLOOKUP(D967,products!$A$1:$A$49,products!$C$1:$C$49,,0)</f>
        <v>M</v>
      </c>
      <c r="K967" s="7">
        <f>_xlfn.XLOOKUP(D967,products!$A$1:$A$49,products!$D$1:$D$49,,0)</f>
        <v>1</v>
      </c>
      <c r="L967" s="9">
        <f>_xlfn.XLOOKUP(D967,products!$A$1:$A$49,products!$E$1:$E$49,,0)</f>
        <v>9.9499999999999993</v>
      </c>
      <c r="M967" s="9">
        <f t="shared" si="15"/>
        <v>29.849999999999998</v>
      </c>
      <c r="N967" s="3" t="str" cm="1">
        <f t="array" ref="N967">_xlfn.SWITCH(I967,
"Rob","Robusta",
"Exc","Excelsa",
"Ara","Arabica",
"Lib","Liberica",
"")</f>
        <v>Robusta</v>
      </c>
      <c r="O967" t="str" cm="1">
        <f t="array" ref="O967">_xlfn.SWITCH(J967,
"M","Medium",
"L","Light",
"D","Dark",
"")</f>
        <v>Medium</v>
      </c>
      <c r="P967" t="str">
        <f>_xlfn.XLOOKUP(Orders[[#This Row],[Customer ID]],customers!$A$1:$A$1001,customers!$I$1:$I$1001,,0)</f>
        <v>Yes</v>
      </c>
    </row>
    <row r="968" spans="1:16" x14ac:dyDescent="0.35">
      <c r="A968" s="2" t="s">
        <v>5949</v>
      </c>
      <c r="B968" s="4">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_xlfn.XLOOKUP(D968,products!$A$1:$A$49,products!$B$1:$B$49,,0)</f>
        <v>Exc</v>
      </c>
      <c r="J968" t="str">
        <f>_xlfn.XLOOKUP(D968,products!$A$1:$A$49,products!$C$1:$C$49,,0)</f>
        <v>L</v>
      </c>
      <c r="K968" s="7">
        <f>_xlfn.XLOOKUP(D968,products!$A$1:$A$49,products!$D$1:$D$49,,0)</f>
        <v>0.5</v>
      </c>
      <c r="L968" s="9">
        <f>_xlfn.XLOOKUP(D968,products!$A$1:$A$49,products!$E$1:$E$49,,0)</f>
        <v>8.91</v>
      </c>
      <c r="M968" s="9">
        <f t="shared" si="15"/>
        <v>53.46</v>
      </c>
      <c r="N968" s="3" t="str" cm="1">
        <f t="array" ref="N968">_xlfn.SWITCH(I968,
"Rob","Robusta",
"Exc","Excelsa",
"Ara","Arabica",
"Lib","Liberica",
"")</f>
        <v>Excelsa</v>
      </c>
      <c r="O968" t="str" cm="1">
        <f t="array" ref="O968">_xlfn.SWITCH(J968,
"M","Medium",
"L","Light",
"D","Dark",
"")</f>
        <v>Light</v>
      </c>
      <c r="P968" t="str">
        <f>_xlfn.XLOOKUP(Orders[[#This Row],[Customer ID]],customers!$A$1:$A$1001,customers!$I$1:$I$1001,,0)</f>
        <v>Yes</v>
      </c>
    </row>
    <row r="969" spans="1:16" x14ac:dyDescent="0.35">
      <c r="A969" s="2" t="s">
        <v>5955</v>
      </c>
      <c r="B969" s="4">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_xlfn.XLOOKUP(D969,products!$A$1:$A$49,products!$B$1:$B$49,,0)</f>
        <v>Rob</v>
      </c>
      <c r="J969" t="str">
        <f>_xlfn.XLOOKUP(D969,products!$A$1:$A$49,products!$C$1:$C$49,,0)</f>
        <v>D</v>
      </c>
      <c r="K969" s="7">
        <f>_xlfn.XLOOKUP(D969,products!$A$1:$A$49,products!$D$1:$D$49,,0)</f>
        <v>0.2</v>
      </c>
      <c r="L969" s="9">
        <f>_xlfn.XLOOKUP(D969,products!$A$1:$A$49,products!$E$1:$E$49,,0)</f>
        <v>2.6849999999999996</v>
      </c>
      <c r="M969" s="9">
        <f t="shared" si="15"/>
        <v>2.6849999999999996</v>
      </c>
      <c r="N969" s="3" t="str" cm="1">
        <f t="array" ref="N969">_xlfn.SWITCH(I969,
"Rob","Robusta",
"Exc","Excelsa",
"Ara","Arabica",
"Lib","Liberica",
"")</f>
        <v>Robusta</v>
      </c>
      <c r="O969" t="str" cm="1">
        <f t="array" ref="O969">_xlfn.SWITCH(J969,
"M","Medium",
"L","Light",
"D","Dark",
"")</f>
        <v>Dark</v>
      </c>
      <c r="P969" t="str">
        <f>_xlfn.XLOOKUP(Orders[[#This Row],[Customer ID]],customers!$A$1:$A$1001,customers!$I$1:$I$1001,,0)</f>
        <v>Yes</v>
      </c>
    </row>
    <row r="970" spans="1:16" x14ac:dyDescent="0.35">
      <c r="A970" s="2" t="s">
        <v>5961</v>
      </c>
      <c r="B970" s="4">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_xlfn.XLOOKUP(D970,products!$A$1:$A$49,products!$B$1:$B$49,,0)</f>
        <v>Rob</v>
      </c>
      <c r="J970" t="str">
        <f>_xlfn.XLOOKUP(D970,products!$A$1:$A$49,products!$C$1:$C$49,,0)</f>
        <v>M</v>
      </c>
      <c r="K970" s="7">
        <f>_xlfn.XLOOKUP(D970,products!$A$1:$A$49,products!$D$1:$D$49,,0)</f>
        <v>0.2</v>
      </c>
      <c r="L970" s="9">
        <f>_xlfn.XLOOKUP(D970,products!$A$1:$A$49,products!$E$1:$E$49,,0)</f>
        <v>2.9849999999999999</v>
      </c>
      <c r="M970" s="9">
        <f t="shared" si="15"/>
        <v>5.97</v>
      </c>
      <c r="N970" s="3" t="str" cm="1">
        <f t="array" ref="N970">_xlfn.SWITCH(I970,
"Rob","Robusta",
"Exc","Excelsa",
"Ara","Arabica",
"Lib","Liberica",
"")</f>
        <v>Robusta</v>
      </c>
      <c r="O970" t="str" cm="1">
        <f t="array" ref="O970">_xlfn.SWITCH(J970,
"M","Medium",
"L","Light",
"D","Dark",
"")</f>
        <v>Medium</v>
      </c>
      <c r="P970" t="str">
        <f>_xlfn.XLOOKUP(Orders[[#This Row],[Customer ID]],customers!$A$1:$A$1001,customers!$I$1:$I$1001,,0)</f>
        <v>No</v>
      </c>
    </row>
    <row r="971" spans="1:16" x14ac:dyDescent="0.35">
      <c r="A971" s="2" t="s">
        <v>5967</v>
      </c>
      <c r="B971" s="4">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_xlfn.XLOOKUP(D971,products!$A$1:$A$49,products!$B$1:$B$49,,0)</f>
        <v>Lib</v>
      </c>
      <c r="J971" t="str">
        <f>_xlfn.XLOOKUP(D971,products!$A$1:$A$49,products!$C$1:$C$49,,0)</f>
        <v>D</v>
      </c>
      <c r="K971" s="7">
        <f>_xlfn.XLOOKUP(D971,products!$A$1:$A$49,products!$D$1:$D$49,,0)</f>
        <v>1</v>
      </c>
      <c r="L971" s="9">
        <f>_xlfn.XLOOKUP(D971,products!$A$1:$A$49,products!$E$1:$E$49,,0)</f>
        <v>12.95</v>
      </c>
      <c r="M971" s="9">
        <f t="shared" si="15"/>
        <v>12.95</v>
      </c>
      <c r="N971" s="3" t="str" cm="1">
        <f t="array" ref="N971">_xlfn.SWITCH(I971,
"Rob","Robusta",
"Exc","Excelsa",
"Ara","Arabica",
"Lib","Liberica",
"")</f>
        <v>Liberica</v>
      </c>
      <c r="O971" t="str" cm="1">
        <f t="array" ref="O971">_xlfn.SWITCH(J971,
"M","Medium",
"L","Light",
"D","Dark",
"")</f>
        <v>Dark</v>
      </c>
      <c r="P971" t="str">
        <f>_xlfn.XLOOKUP(Orders[[#This Row],[Customer ID]],customers!$A$1:$A$1001,customers!$I$1:$I$1001,,0)</f>
        <v>Yes</v>
      </c>
    </row>
    <row r="972" spans="1:16" x14ac:dyDescent="0.35">
      <c r="A972" s="2" t="s">
        <v>5973</v>
      </c>
      <c r="B972" s="4">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_xlfn.XLOOKUP(D972,products!$A$1:$A$49,products!$B$1:$B$49,,0)</f>
        <v>Exc</v>
      </c>
      <c r="J972" t="str">
        <f>_xlfn.XLOOKUP(D972,products!$A$1:$A$49,products!$C$1:$C$49,,0)</f>
        <v>M</v>
      </c>
      <c r="K972" s="7">
        <f>_xlfn.XLOOKUP(D972,products!$A$1:$A$49,products!$D$1:$D$49,,0)</f>
        <v>0.5</v>
      </c>
      <c r="L972" s="9">
        <f>_xlfn.XLOOKUP(D972,products!$A$1:$A$49,products!$E$1:$E$49,,0)</f>
        <v>8.25</v>
      </c>
      <c r="M972" s="9">
        <f t="shared" si="15"/>
        <v>8.25</v>
      </c>
      <c r="N972" s="3" t="str" cm="1">
        <f t="array" ref="N972">_xlfn.SWITCH(I972,
"Rob","Robusta",
"Exc","Excelsa",
"Ara","Arabica",
"Lib","Liberica",
"")</f>
        <v>Excelsa</v>
      </c>
      <c r="O972" t="str" cm="1">
        <f t="array" ref="O972">_xlfn.SWITCH(J972,
"M","Medium",
"L","Light",
"D","Dark",
"")</f>
        <v>Medium</v>
      </c>
      <c r="P972" t="str">
        <f>_xlfn.XLOOKUP(Orders[[#This Row],[Customer ID]],customers!$A$1:$A$1001,customers!$I$1:$I$1001,,0)</f>
        <v>No</v>
      </c>
    </row>
    <row r="973" spans="1:16" x14ac:dyDescent="0.35">
      <c r="A973" s="2" t="s">
        <v>5978</v>
      </c>
      <c r="B973" s="4">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_xlfn.XLOOKUP(D973,products!$A$1:$A$49,products!$B$1:$B$49,,0)</f>
        <v>Ara</v>
      </c>
      <c r="J973" t="str">
        <f>_xlfn.XLOOKUP(D973,products!$A$1:$A$49,products!$C$1:$C$49,,0)</f>
        <v>L</v>
      </c>
      <c r="K973" s="7">
        <f>_xlfn.XLOOKUP(D973,products!$A$1:$A$49,products!$D$1:$D$49,,0)</f>
        <v>2.5</v>
      </c>
      <c r="L973" s="9">
        <f>_xlfn.XLOOKUP(D973,products!$A$1:$A$49,products!$E$1:$E$49,,0)</f>
        <v>29.784999999999997</v>
      </c>
      <c r="M973" s="9">
        <f t="shared" si="15"/>
        <v>148.92499999999998</v>
      </c>
      <c r="N973" s="3" t="str" cm="1">
        <f t="array" ref="N973">_xlfn.SWITCH(I973,
"Rob","Robusta",
"Exc","Excelsa",
"Ara","Arabica",
"Lib","Liberica",
"")</f>
        <v>Arabica</v>
      </c>
      <c r="O973" t="str" cm="1">
        <f t="array" ref="O973">_xlfn.SWITCH(J973,
"M","Medium",
"L","Light",
"D","Dark",
"")</f>
        <v>Light</v>
      </c>
      <c r="P973" t="str">
        <f>_xlfn.XLOOKUP(Orders[[#This Row],[Customer ID]],customers!$A$1:$A$1001,customers!$I$1:$I$1001,,0)</f>
        <v>No</v>
      </c>
    </row>
    <row r="974" spans="1:16" x14ac:dyDescent="0.35">
      <c r="A974" s="2" t="s">
        <v>5984</v>
      </c>
      <c r="B974" s="4">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_xlfn.XLOOKUP(D974,products!$A$1:$A$49,products!$B$1:$B$49,,0)</f>
        <v>Ara</v>
      </c>
      <c r="J974" t="str">
        <f>_xlfn.XLOOKUP(D974,products!$A$1:$A$49,products!$C$1:$C$49,,0)</f>
        <v>L</v>
      </c>
      <c r="K974" s="7">
        <f>_xlfn.XLOOKUP(D974,products!$A$1:$A$49,products!$D$1:$D$49,,0)</f>
        <v>2.5</v>
      </c>
      <c r="L974" s="9">
        <f>_xlfn.XLOOKUP(D974,products!$A$1:$A$49,products!$E$1:$E$49,,0)</f>
        <v>29.784999999999997</v>
      </c>
      <c r="M974" s="9">
        <f t="shared" si="15"/>
        <v>89.35499999999999</v>
      </c>
      <c r="N974" s="3" t="str" cm="1">
        <f t="array" ref="N974">_xlfn.SWITCH(I974,
"Rob","Robusta",
"Exc","Excelsa",
"Ara","Arabica",
"Lib","Liberica",
"")</f>
        <v>Arabica</v>
      </c>
      <c r="O974" t="str" cm="1">
        <f t="array" ref="O974">_xlfn.SWITCH(J974,
"M","Medium",
"L","Light",
"D","Dark",
"")</f>
        <v>Light</v>
      </c>
      <c r="P974" t="str">
        <f>_xlfn.XLOOKUP(Orders[[#This Row],[Customer ID]],customers!$A$1:$A$1001,customers!$I$1:$I$1001,,0)</f>
        <v>Yes</v>
      </c>
    </row>
    <row r="975" spans="1:16" x14ac:dyDescent="0.35">
      <c r="A975" s="2" t="s">
        <v>5989</v>
      </c>
      <c r="B975" s="4">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_xlfn.XLOOKUP(D975,products!$A$1:$A$49,products!$B$1:$B$49,,0)</f>
        <v>Lib</v>
      </c>
      <c r="J975" t="str">
        <f>_xlfn.XLOOKUP(D975,products!$A$1:$A$49,products!$C$1:$C$49,,0)</f>
        <v>M</v>
      </c>
      <c r="K975" s="7">
        <f>_xlfn.XLOOKUP(D975,products!$A$1:$A$49,products!$D$1:$D$49,,0)</f>
        <v>1</v>
      </c>
      <c r="L975" s="9">
        <f>_xlfn.XLOOKUP(D975,products!$A$1:$A$49,products!$E$1:$E$49,,0)</f>
        <v>14.55</v>
      </c>
      <c r="M975" s="9">
        <f t="shared" si="15"/>
        <v>87.300000000000011</v>
      </c>
      <c r="N975" s="3" t="str" cm="1">
        <f t="array" ref="N975">_xlfn.SWITCH(I975,
"Rob","Robusta",
"Exc","Excelsa",
"Ara","Arabica",
"Lib","Liberica",
"")</f>
        <v>Liberica</v>
      </c>
      <c r="O975" t="str" cm="1">
        <f t="array" ref="O975">_xlfn.SWITCH(J975,
"M","Medium",
"L","Light",
"D","Dark",
"")</f>
        <v>Medium</v>
      </c>
      <c r="P975" t="str">
        <f>_xlfn.XLOOKUP(Orders[[#This Row],[Customer ID]],customers!$A$1:$A$1001,customers!$I$1:$I$1001,,0)</f>
        <v>No</v>
      </c>
    </row>
    <row r="976" spans="1:16" x14ac:dyDescent="0.35">
      <c r="A976" s="2" t="s">
        <v>5995</v>
      </c>
      <c r="B976" s="4">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_xlfn.XLOOKUP(D976,products!$A$1:$A$49,products!$B$1:$B$49,,0)</f>
        <v>Rob</v>
      </c>
      <c r="J976" t="str">
        <f>_xlfn.XLOOKUP(D976,products!$A$1:$A$49,products!$C$1:$C$49,,0)</f>
        <v>D</v>
      </c>
      <c r="K976" s="7">
        <f>_xlfn.XLOOKUP(D976,products!$A$1:$A$49,products!$D$1:$D$49,,0)</f>
        <v>0.5</v>
      </c>
      <c r="L976" s="9">
        <f>_xlfn.XLOOKUP(D976,products!$A$1:$A$49,products!$E$1:$E$49,,0)</f>
        <v>5.3699999999999992</v>
      </c>
      <c r="M976" s="9">
        <f t="shared" si="15"/>
        <v>5.3699999999999992</v>
      </c>
      <c r="N976" s="3" t="str" cm="1">
        <f t="array" ref="N976">_xlfn.SWITCH(I976,
"Rob","Robusta",
"Exc","Excelsa",
"Ara","Arabica",
"Lib","Liberica",
"")</f>
        <v>Robusta</v>
      </c>
      <c r="O976" t="str" cm="1">
        <f t="array" ref="O976">_xlfn.SWITCH(J976,
"M","Medium",
"L","Light",
"D","Dark",
"")</f>
        <v>Dark</v>
      </c>
      <c r="P976" t="str">
        <f>_xlfn.XLOOKUP(Orders[[#This Row],[Customer ID]],customers!$A$1:$A$1001,customers!$I$1:$I$1001,,0)</f>
        <v>Yes</v>
      </c>
    </row>
    <row r="977" spans="1:16" x14ac:dyDescent="0.35">
      <c r="A977" s="2" t="s">
        <v>6001</v>
      </c>
      <c r="B977" s="4">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_xlfn.XLOOKUP(D977,products!$A$1:$A$49,products!$B$1:$B$49,,0)</f>
        <v>Ara</v>
      </c>
      <c r="J977" t="str">
        <f>_xlfn.XLOOKUP(D977,products!$A$1:$A$49,products!$C$1:$C$49,,0)</f>
        <v>D</v>
      </c>
      <c r="K977" s="7">
        <f>_xlfn.XLOOKUP(D977,products!$A$1:$A$49,products!$D$1:$D$49,,0)</f>
        <v>0.2</v>
      </c>
      <c r="L977" s="9">
        <f>_xlfn.XLOOKUP(D977,products!$A$1:$A$49,products!$E$1:$E$49,,0)</f>
        <v>2.9849999999999999</v>
      </c>
      <c r="M977" s="9">
        <f t="shared" si="15"/>
        <v>8.9550000000000001</v>
      </c>
      <c r="N977" s="3" t="str" cm="1">
        <f t="array" ref="N977">_xlfn.SWITCH(I977,
"Rob","Robusta",
"Exc","Excelsa",
"Ara","Arabica",
"Lib","Liberica",
"")</f>
        <v>Arabica</v>
      </c>
      <c r="O977" t="str" cm="1">
        <f t="array" ref="O977">_xlfn.SWITCH(J977,
"M","Medium",
"L","Light",
"D","Dark",
"")</f>
        <v>Dark</v>
      </c>
      <c r="P977" t="str">
        <f>_xlfn.XLOOKUP(Orders[[#This Row],[Customer ID]],customers!$A$1:$A$1001,customers!$I$1:$I$1001,,0)</f>
        <v>Yes</v>
      </c>
    </row>
    <row r="978" spans="1:16" x14ac:dyDescent="0.35">
      <c r="A978" s="2" t="s">
        <v>6007</v>
      </c>
      <c r="B978" s="4">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_xlfn.XLOOKUP(D978,products!$A$1:$A$49,products!$B$1:$B$49,,0)</f>
        <v>Rob</v>
      </c>
      <c r="J978" t="str">
        <f>_xlfn.XLOOKUP(D978,products!$A$1:$A$49,products!$C$1:$C$49,,0)</f>
        <v>L</v>
      </c>
      <c r="K978" s="7">
        <f>_xlfn.XLOOKUP(D978,products!$A$1:$A$49,products!$D$1:$D$49,,0)</f>
        <v>2.5</v>
      </c>
      <c r="L978" s="9">
        <f>_xlfn.XLOOKUP(D978,products!$A$1:$A$49,products!$E$1:$E$49,,0)</f>
        <v>27.484999999999996</v>
      </c>
      <c r="M978" s="9">
        <f t="shared" si="15"/>
        <v>137.42499999999998</v>
      </c>
      <c r="N978" s="3" t="str" cm="1">
        <f t="array" ref="N978">_xlfn.SWITCH(I978,
"Rob","Robusta",
"Exc","Excelsa",
"Ara","Arabica",
"Lib","Liberica",
"")</f>
        <v>Robusta</v>
      </c>
      <c r="O978" t="str" cm="1">
        <f t="array" ref="O978">_xlfn.SWITCH(J978,
"M","Medium",
"L","Light",
"D","Dark",
"")</f>
        <v>Light</v>
      </c>
      <c r="P978" t="str">
        <f>_xlfn.XLOOKUP(Orders[[#This Row],[Customer ID]],customers!$A$1:$A$1001,customers!$I$1:$I$1001,,0)</f>
        <v>Yes</v>
      </c>
    </row>
    <row r="979" spans="1:16" x14ac:dyDescent="0.35">
      <c r="A979" s="2" t="s">
        <v>6013</v>
      </c>
      <c r="B979" s="4">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_xlfn.XLOOKUP(D979,products!$A$1:$A$49,products!$B$1:$B$49,,0)</f>
        <v>Rob</v>
      </c>
      <c r="J979" t="str">
        <f>_xlfn.XLOOKUP(D979,products!$A$1:$A$49,products!$C$1:$C$49,,0)</f>
        <v>L</v>
      </c>
      <c r="K979" s="7">
        <f>_xlfn.XLOOKUP(D979,products!$A$1:$A$49,products!$D$1:$D$49,,0)</f>
        <v>1</v>
      </c>
      <c r="L979" s="9">
        <f>_xlfn.XLOOKUP(D979,products!$A$1:$A$49,products!$E$1:$E$49,,0)</f>
        <v>11.95</v>
      </c>
      <c r="M979" s="9">
        <f t="shared" si="15"/>
        <v>59.75</v>
      </c>
      <c r="N979" s="3" t="str" cm="1">
        <f t="array" ref="N979">_xlfn.SWITCH(I979,
"Rob","Robusta",
"Exc","Excelsa",
"Ara","Arabica",
"Lib","Liberica",
"")</f>
        <v>Robusta</v>
      </c>
      <c r="O979" t="str" cm="1">
        <f t="array" ref="O979">_xlfn.SWITCH(J979,
"M","Medium",
"L","Light",
"D","Dark",
"")</f>
        <v>Light</v>
      </c>
      <c r="P979" t="str">
        <f>_xlfn.XLOOKUP(Orders[[#This Row],[Customer ID]],customers!$A$1:$A$1001,customers!$I$1:$I$1001,,0)</f>
        <v>No</v>
      </c>
    </row>
    <row r="980" spans="1:16" x14ac:dyDescent="0.35">
      <c r="A980" s="2" t="s">
        <v>6019</v>
      </c>
      <c r="B980" s="4">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_xlfn.XLOOKUP(D980,products!$A$1:$A$49,products!$B$1:$B$49,,0)</f>
        <v>Ara</v>
      </c>
      <c r="J980" t="str">
        <f>_xlfn.XLOOKUP(D980,products!$A$1:$A$49,products!$C$1:$C$49,,0)</f>
        <v>L</v>
      </c>
      <c r="K980" s="7">
        <f>_xlfn.XLOOKUP(D980,products!$A$1:$A$49,products!$D$1:$D$49,,0)</f>
        <v>0.5</v>
      </c>
      <c r="L980" s="9">
        <f>_xlfn.XLOOKUP(D980,products!$A$1:$A$49,products!$E$1:$E$49,,0)</f>
        <v>7.77</v>
      </c>
      <c r="M980" s="9">
        <f t="shared" si="15"/>
        <v>23.31</v>
      </c>
      <c r="N980" s="3" t="str" cm="1">
        <f t="array" ref="N980">_xlfn.SWITCH(I980,
"Rob","Robusta",
"Exc","Excelsa",
"Ara","Arabica",
"Lib","Liberica",
"")</f>
        <v>Arabica</v>
      </c>
      <c r="O980" t="str" cm="1">
        <f t="array" ref="O980">_xlfn.SWITCH(J980,
"M","Medium",
"L","Light",
"D","Dark",
"")</f>
        <v>Light</v>
      </c>
      <c r="P980" t="str">
        <f>_xlfn.XLOOKUP(Orders[[#This Row],[Customer ID]],customers!$A$1:$A$1001,customers!$I$1:$I$1001,,0)</f>
        <v>No</v>
      </c>
    </row>
    <row r="981" spans="1:16" x14ac:dyDescent="0.35">
      <c r="A981" s="2" t="s">
        <v>6025</v>
      </c>
      <c r="B981" s="4">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_xlfn.XLOOKUP(D981,products!$A$1:$A$49,products!$B$1:$B$49,,0)</f>
        <v>Rob</v>
      </c>
      <c r="J981" t="str">
        <f>_xlfn.XLOOKUP(D981,products!$A$1:$A$49,products!$C$1:$C$49,,0)</f>
        <v>D</v>
      </c>
      <c r="K981" s="7">
        <f>_xlfn.XLOOKUP(D981,products!$A$1:$A$49,products!$D$1:$D$49,,0)</f>
        <v>0.5</v>
      </c>
      <c r="L981" s="9">
        <f>_xlfn.XLOOKUP(D981,products!$A$1:$A$49,products!$E$1:$E$49,,0)</f>
        <v>5.3699999999999992</v>
      </c>
      <c r="M981" s="9">
        <f t="shared" si="15"/>
        <v>10.739999999999998</v>
      </c>
      <c r="N981" s="3" t="str" cm="1">
        <f t="array" ref="N981">_xlfn.SWITCH(I981,
"Rob","Robusta",
"Exc","Excelsa",
"Ara","Arabica",
"Lib","Liberica",
"")</f>
        <v>Robusta</v>
      </c>
      <c r="O981" t="str" cm="1">
        <f t="array" ref="O981">_xlfn.SWITCH(J981,
"M","Medium",
"L","Light",
"D","Dark",
"")</f>
        <v>Dark</v>
      </c>
      <c r="P981" t="str">
        <f>_xlfn.XLOOKUP(Orders[[#This Row],[Customer ID]],customers!$A$1:$A$1001,customers!$I$1:$I$1001,,0)</f>
        <v>No</v>
      </c>
    </row>
    <row r="982" spans="1:16" x14ac:dyDescent="0.35">
      <c r="A982" s="2" t="s">
        <v>6030</v>
      </c>
      <c r="B982" s="4">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_xlfn.XLOOKUP(D982,products!$A$1:$A$49,products!$B$1:$B$49,,0)</f>
        <v>Exc</v>
      </c>
      <c r="J982" t="str">
        <f>_xlfn.XLOOKUP(D982,products!$A$1:$A$49,products!$C$1:$C$49,,0)</f>
        <v>D</v>
      </c>
      <c r="K982" s="7">
        <f>_xlfn.XLOOKUP(D982,products!$A$1:$A$49,products!$D$1:$D$49,,0)</f>
        <v>2.5</v>
      </c>
      <c r="L982" s="9">
        <f>_xlfn.XLOOKUP(D982,products!$A$1:$A$49,products!$E$1:$E$49,,0)</f>
        <v>27.945</v>
      </c>
      <c r="M982" s="9">
        <f t="shared" si="15"/>
        <v>167.67000000000002</v>
      </c>
      <c r="N982" s="3" t="str" cm="1">
        <f t="array" ref="N982">_xlfn.SWITCH(I982,
"Rob","Robusta",
"Exc","Excelsa",
"Ara","Arabica",
"Lib","Liberica",
"")</f>
        <v>Excelsa</v>
      </c>
      <c r="O982" t="str" cm="1">
        <f t="array" ref="O982">_xlfn.SWITCH(J982,
"M","Medium",
"L","Light",
"D","Dark",
"")</f>
        <v>Dark</v>
      </c>
      <c r="P982" t="str">
        <f>_xlfn.XLOOKUP(Orders[[#This Row],[Customer ID]],customers!$A$1:$A$1001,customers!$I$1:$I$1001,,0)</f>
        <v>Yes</v>
      </c>
    </row>
    <row r="983" spans="1:16" x14ac:dyDescent="0.35">
      <c r="A983" s="2" t="s">
        <v>6035</v>
      </c>
      <c r="B983" s="4">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_xlfn.XLOOKUP(D983,products!$A$1:$A$49,products!$B$1:$B$49,,0)</f>
        <v>Exc</v>
      </c>
      <c r="J983" t="str">
        <f>_xlfn.XLOOKUP(D983,products!$A$1:$A$49,products!$C$1:$C$49,,0)</f>
        <v>D</v>
      </c>
      <c r="K983" s="7">
        <f>_xlfn.XLOOKUP(D983,products!$A$1:$A$49,products!$D$1:$D$49,,0)</f>
        <v>0.2</v>
      </c>
      <c r="L983" s="9">
        <f>_xlfn.XLOOKUP(D983,products!$A$1:$A$49,products!$E$1:$E$49,,0)</f>
        <v>3.645</v>
      </c>
      <c r="M983" s="9">
        <f t="shared" si="15"/>
        <v>21.87</v>
      </c>
      <c r="N983" s="3" t="str" cm="1">
        <f t="array" ref="N983">_xlfn.SWITCH(I983,
"Rob","Robusta",
"Exc","Excelsa",
"Ara","Arabica",
"Lib","Liberica",
"")</f>
        <v>Excelsa</v>
      </c>
      <c r="O983" t="str" cm="1">
        <f t="array" ref="O983">_xlfn.SWITCH(J983,
"M","Medium",
"L","Light",
"D","Dark",
"")</f>
        <v>Dark</v>
      </c>
      <c r="P983" t="str">
        <f>_xlfn.XLOOKUP(Orders[[#This Row],[Customer ID]],customers!$A$1:$A$1001,customers!$I$1:$I$1001,,0)</f>
        <v>Yes</v>
      </c>
    </row>
    <row r="984" spans="1:16" x14ac:dyDescent="0.35">
      <c r="A984" s="2" t="s">
        <v>6041</v>
      </c>
      <c r="B984" s="4">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_xlfn.XLOOKUP(D984,products!$A$1:$A$49,products!$B$1:$B$49,,0)</f>
        <v>Rob</v>
      </c>
      <c r="J984" t="str">
        <f>_xlfn.XLOOKUP(D984,products!$A$1:$A$49,products!$C$1:$C$49,,0)</f>
        <v>L</v>
      </c>
      <c r="K984" s="7">
        <f>_xlfn.XLOOKUP(D984,products!$A$1:$A$49,products!$D$1:$D$49,,0)</f>
        <v>1</v>
      </c>
      <c r="L984" s="9">
        <f>_xlfn.XLOOKUP(D984,products!$A$1:$A$49,products!$E$1:$E$49,,0)</f>
        <v>11.95</v>
      </c>
      <c r="M984" s="9">
        <f t="shared" si="15"/>
        <v>23.9</v>
      </c>
      <c r="N984" s="3" t="str" cm="1">
        <f t="array" ref="N984">_xlfn.SWITCH(I984,
"Rob","Robusta",
"Exc","Excelsa",
"Ara","Arabica",
"Lib","Liberica",
"")</f>
        <v>Robusta</v>
      </c>
      <c r="O984" t="str" cm="1">
        <f t="array" ref="O984">_xlfn.SWITCH(J984,
"M","Medium",
"L","Light",
"D","Dark",
"")</f>
        <v>Light</v>
      </c>
      <c r="P984" t="str">
        <f>_xlfn.XLOOKUP(Orders[[#This Row],[Customer ID]],customers!$A$1:$A$1001,customers!$I$1:$I$1001,,0)</f>
        <v>Yes</v>
      </c>
    </row>
    <row r="985" spans="1:16" x14ac:dyDescent="0.35">
      <c r="A985" s="2" t="s">
        <v>6047</v>
      </c>
      <c r="B985" s="4">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_xlfn.XLOOKUP(D985,products!$A$1:$A$49,products!$B$1:$B$49,,0)</f>
        <v>Ara</v>
      </c>
      <c r="J985" t="str">
        <f>_xlfn.XLOOKUP(D985,products!$A$1:$A$49,products!$C$1:$C$49,,0)</f>
        <v>M</v>
      </c>
      <c r="K985" s="7">
        <f>_xlfn.XLOOKUP(D985,products!$A$1:$A$49,products!$D$1:$D$49,,0)</f>
        <v>0.2</v>
      </c>
      <c r="L985" s="9">
        <f>_xlfn.XLOOKUP(D985,products!$A$1:$A$49,products!$E$1:$E$49,,0)</f>
        <v>3.375</v>
      </c>
      <c r="M985" s="9">
        <f t="shared" si="15"/>
        <v>6.75</v>
      </c>
      <c r="N985" s="3" t="str" cm="1">
        <f t="array" ref="N985">_xlfn.SWITCH(I985,
"Rob","Robusta",
"Exc","Excelsa",
"Ara","Arabica",
"Lib","Liberica",
"")</f>
        <v>Arabica</v>
      </c>
      <c r="O985" t="str" cm="1">
        <f t="array" ref="O985">_xlfn.SWITCH(J985,
"M","Medium",
"L","Light",
"D","Dark",
"")</f>
        <v>Medium</v>
      </c>
      <c r="P985" t="str">
        <f>_xlfn.XLOOKUP(Orders[[#This Row],[Customer ID]],customers!$A$1:$A$1001,customers!$I$1:$I$1001,,0)</f>
        <v>Yes</v>
      </c>
    </row>
    <row r="986" spans="1:16" x14ac:dyDescent="0.35">
      <c r="A986" s="2" t="s">
        <v>6053</v>
      </c>
      <c r="B986" s="4">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_xlfn.XLOOKUP(D986,products!$A$1:$A$49,products!$B$1:$B$49,,0)</f>
        <v>Exc</v>
      </c>
      <c r="J986" t="str">
        <f>_xlfn.XLOOKUP(D986,products!$A$1:$A$49,products!$C$1:$C$49,,0)</f>
        <v>M</v>
      </c>
      <c r="K986" s="7">
        <f>_xlfn.XLOOKUP(D986,products!$A$1:$A$49,products!$D$1:$D$49,,0)</f>
        <v>2.5</v>
      </c>
      <c r="L986" s="9">
        <f>_xlfn.XLOOKUP(D986,products!$A$1:$A$49,products!$E$1:$E$49,,0)</f>
        <v>31.624999999999996</v>
      </c>
      <c r="M986" s="9">
        <f t="shared" si="15"/>
        <v>31.624999999999996</v>
      </c>
      <c r="N986" s="3" t="str" cm="1">
        <f t="array" ref="N986">_xlfn.SWITCH(I986,
"Rob","Robusta",
"Exc","Excelsa",
"Ara","Arabica",
"Lib","Liberica",
"")</f>
        <v>Excelsa</v>
      </c>
      <c r="O986" t="str" cm="1">
        <f t="array" ref="O986">_xlfn.SWITCH(J986,
"M","Medium",
"L","Light",
"D","Dark",
"")</f>
        <v>Medium</v>
      </c>
      <c r="P986" t="str">
        <f>_xlfn.XLOOKUP(Orders[[#This Row],[Customer ID]],customers!$A$1:$A$1001,customers!$I$1:$I$1001,,0)</f>
        <v>Yes</v>
      </c>
    </row>
    <row r="987" spans="1:16" x14ac:dyDescent="0.35">
      <c r="A987" s="2" t="s">
        <v>6058</v>
      </c>
      <c r="B987" s="4">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_xlfn.XLOOKUP(D987,products!$A$1:$A$49,products!$B$1:$B$49,,0)</f>
        <v>Rob</v>
      </c>
      <c r="J987" t="str">
        <f>_xlfn.XLOOKUP(D987,products!$A$1:$A$49,products!$C$1:$C$49,,0)</f>
        <v>L</v>
      </c>
      <c r="K987" s="7">
        <f>_xlfn.XLOOKUP(D987,products!$A$1:$A$49,products!$D$1:$D$49,,0)</f>
        <v>1</v>
      </c>
      <c r="L987" s="9">
        <f>_xlfn.XLOOKUP(D987,products!$A$1:$A$49,products!$E$1:$E$49,,0)</f>
        <v>11.95</v>
      </c>
      <c r="M987" s="9">
        <f t="shared" si="15"/>
        <v>47.8</v>
      </c>
      <c r="N987" s="3" t="str" cm="1">
        <f t="array" ref="N987">_xlfn.SWITCH(I987,
"Rob","Robusta",
"Exc","Excelsa",
"Ara","Arabica",
"Lib","Liberica",
"")</f>
        <v>Robusta</v>
      </c>
      <c r="O987" t="str" cm="1">
        <f t="array" ref="O987">_xlfn.SWITCH(J987,
"M","Medium",
"L","Light",
"D","Dark",
"")</f>
        <v>Light</v>
      </c>
      <c r="P987" t="str">
        <f>_xlfn.XLOOKUP(Orders[[#This Row],[Customer ID]],customers!$A$1:$A$1001,customers!$I$1:$I$1001,,0)</f>
        <v>No</v>
      </c>
    </row>
    <row r="988" spans="1:16" x14ac:dyDescent="0.35">
      <c r="A988" s="2" t="s">
        <v>6064</v>
      </c>
      <c r="B988" s="4">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_xlfn.XLOOKUP(D988,products!$A$1:$A$49,products!$B$1:$B$49,,0)</f>
        <v>Lib</v>
      </c>
      <c r="J988" t="str">
        <f>_xlfn.XLOOKUP(D988,products!$A$1:$A$49,products!$C$1:$C$49,,0)</f>
        <v>M</v>
      </c>
      <c r="K988" s="7">
        <f>_xlfn.XLOOKUP(D988,products!$A$1:$A$49,products!$D$1:$D$49,,0)</f>
        <v>2.5</v>
      </c>
      <c r="L988" s="9">
        <f>_xlfn.XLOOKUP(D988,products!$A$1:$A$49,products!$E$1:$E$49,,0)</f>
        <v>33.464999999999996</v>
      </c>
      <c r="M988" s="9">
        <f t="shared" si="15"/>
        <v>33.464999999999996</v>
      </c>
      <c r="N988" s="3" t="str" cm="1">
        <f t="array" ref="N988">_xlfn.SWITCH(I988,
"Rob","Robusta",
"Exc","Excelsa",
"Ara","Arabica",
"Lib","Liberica",
"")</f>
        <v>Liberica</v>
      </c>
      <c r="O988" t="str" cm="1">
        <f t="array" ref="O988">_xlfn.SWITCH(J988,
"M","Medium",
"L","Light",
"D","Dark",
"")</f>
        <v>Medium</v>
      </c>
      <c r="P988" t="str">
        <f>_xlfn.XLOOKUP(Orders[[#This Row],[Customer ID]],customers!$A$1:$A$1001,customers!$I$1:$I$1001,,0)</f>
        <v>No</v>
      </c>
    </row>
    <row r="989" spans="1:16" x14ac:dyDescent="0.35">
      <c r="A989" s="2" t="s">
        <v>6070</v>
      </c>
      <c r="B989" s="4">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_xlfn.XLOOKUP(D989,products!$A$1:$A$49,products!$B$1:$B$49,,0)</f>
        <v>Ara</v>
      </c>
      <c r="J989" t="str">
        <f>_xlfn.XLOOKUP(D989,products!$A$1:$A$49,products!$C$1:$C$49,,0)</f>
        <v>D</v>
      </c>
      <c r="K989" s="7">
        <f>_xlfn.XLOOKUP(D989,products!$A$1:$A$49,products!$D$1:$D$49,,0)</f>
        <v>0.5</v>
      </c>
      <c r="L989" s="9">
        <f>_xlfn.XLOOKUP(D989,products!$A$1:$A$49,products!$E$1:$E$49,,0)</f>
        <v>5.97</v>
      </c>
      <c r="M989" s="9">
        <f t="shared" si="15"/>
        <v>29.849999999999998</v>
      </c>
      <c r="N989" s="3" t="str" cm="1">
        <f t="array" ref="N989">_xlfn.SWITCH(I989,
"Rob","Robusta",
"Exc","Excelsa",
"Ara","Arabica",
"Lib","Liberica",
"")</f>
        <v>Arabica</v>
      </c>
      <c r="O989" t="str" cm="1">
        <f t="array" ref="O989">_xlfn.SWITCH(J989,
"M","Medium",
"L","Light",
"D","Dark",
"")</f>
        <v>Dark</v>
      </c>
      <c r="P989" t="str">
        <f>_xlfn.XLOOKUP(Orders[[#This Row],[Customer ID]],customers!$A$1:$A$1001,customers!$I$1:$I$1001,,0)</f>
        <v>Yes</v>
      </c>
    </row>
    <row r="990" spans="1:16" x14ac:dyDescent="0.35">
      <c r="A990" s="2" t="s">
        <v>6076</v>
      </c>
      <c r="B990" s="4">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_xlfn.XLOOKUP(D990,products!$A$1:$A$49,products!$B$1:$B$49,,0)</f>
        <v>Rob</v>
      </c>
      <c r="J990" t="str">
        <f>_xlfn.XLOOKUP(D990,products!$A$1:$A$49,products!$C$1:$C$49,,0)</f>
        <v>M</v>
      </c>
      <c r="K990" s="7">
        <f>_xlfn.XLOOKUP(D990,products!$A$1:$A$49,products!$D$1:$D$49,,0)</f>
        <v>1</v>
      </c>
      <c r="L990" s="9">
        <f>_xlfn.XLOOKUP(D990,products!$A$1:$A$49,products!$E$1:$E$49,,0)</f>
        <v>9.9499999999999993</v>
      </c>
      <c r="M990" s="9">
        <f t="shared" si="15"/>
        <v>29.849999999999998</v>
      </c>
      <c r="N990" s="3" t="str" cm="1">
        <f t="array" ref="N990">_xlfn.SWITCH(I990,
"Rob","Robusta",
"Exc","Excelsa",
"Ara","Arabica",
"Lib","Liberica",
"")</f>
        <v>Robusta</v>
      </c>
      <c r="O990" t="str" cm="1">
        <f t="array" ref="O990">_xlfn.SWITCH(J990,
"M","Medium",
"L","Light",
"D","Dark",
"")</f>
        <v>Medium</v>
      </c>
      <c r="P990" t="str">
        <f>_xlfn.XLOOKUP(Orders[[#This Row],[Customer ID]],customers!$A$1:$A$1001,customers!$I$1:$I$1001,,0)</f>
        <v>Yes</v>
      </c>
    </row>
    <row r="991" spans="1:16" x14ac:dyDescent="0.35">
      <c r="A991" s="2" t="s">
        <v>6081</v>
      </c>
      <c r="B991" s="4">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_xlfn.XLOOKUP(D991,products!$A$1:$A$49,products!$B$1:$B$49,,0)</f>
        <v>Ara</v>
      </c>
      <c r="J991" t="str">
        <f>_xlfn.XLOOKUP(D991,products!$A$1:$A$49,products!$C$1:$C$49,,0)</f>
        <v>M</v>
      </c>
      <c r="K991" s="7">
        <f>_xlfn.XLOOKUP(D991,products!$A$1:$A$49,products!$D$1:$D$49,,0)</f>
        <v>2.5</v>
      </c>
      <c r="L991" s="9">
        <f>_xlfn.XLOOKUP(D991,products!$A$1:$A$49,products!$E$1:$E$49,,0)</f>
        <v>25.874999999999996</v>
      </c>
      <c r="M991" s="9">
        <f t="shared" si="15"/>
        <v>155.24999999999997</v>
      </c>
      <c r="N991" s="3" t="str" cm="1">
        <f t="array" ref="N991">_xlfn.SWITCH(I991,
"Rob","Robusta",
"Exc","Excelsa",
"Ara","Arabica",
"Lib","Liberica",
"")</f>
        <v>Arabica</v>
      </c>
      <c r="O991" t="str" cm="1">
        <f t="array" ref="O991">_xlfn.SWITCH(J991,
"M","Medium",
"L","Light",
"D","Dark",
"")</f>
        <v>Medium</v>
      </c>
      <c r="P991" t="str">
        <f>_xlfn.XLOOKUP(Orders[[#This Row],[Customer ID]],customers!$A$1:$A$1001,customers!$I$1:$I$1001,,0)</f>
        <v>Yes</v>
      </c>
    </row>
    <row r="992" spans="1:16" x14ac:dyDescent="0.35">
      <c r="A992" s="2" t="s">
        <v>6086</v>
      </c>
      <c r="B992" s="4">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_xlfn.XLOOKUP(D992,products!$A$1:$A$49,products!$B$1:$B$49,,0)</f>
        <v>Exc</v>
      </c>
      <c r="J992" t="str">
        <f>_xlfn.XLOOKUP(D992,products!$A$1:$A$49,products!$C$1:$C$49,,0)</f>
        <v>D</v>
      </c>
      <c r="K992" s="7">
        <f>_xlfn.XLOOKUP(D992,products!$A$1:$A$49,products!$D$1:$D$49,,0)</f>
        <v>0.2</v>
      </c>
      <c r="L992" s="9">
        <f>_xlfn.XLOOKUP(D992,products!$A$1:$A$49,products!$E$1:$E$49,,0)</f>
        <v>3.645</v>
      </c>
      <c r="M992" s="9">
        <f t="shared" si="15"/>
        <v>18.225000000000001</v>
      </c>
      <c r="N992" s="3" t="str" cm="1">
        <f t="array" ref="N992">_xlfn.SWITCH(I992,
"Rob","Robusta",
"Exc","Excelsa",
"Ara","Arabica",
"Lib","Liberica",
"")</f>
        <v>Excelsa</v>
      </c>
      <c r="O992" t="str" cm="1">
        <f t="array" ref="O992">_xlfn.SWITCH(J992,
"M","Medium",
"L","Light",
"D","Dark",
"")</f>
        <v>Dark</v>
      </c>
      <c r="P992" t="str">
        <f>_xlfn.XLOOKUP(Orders[[#This Row],[Customer ID]],customers!$A$1:$A$1001,customers!$I$1:$I$1001,,0)</f>
        <v>No</v>
      </c>
    </row>
    <row r="993" spans="1:16" x14ac:dyDescent="0.35">
      <c r="A993" s="2" t="s">
        <v>6086</v>
      </c>
      <c r="B993" s="4">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_xlfn.XLOOKUP(D993,products!$A$1:$A$49,products!$B$1:$B$49,,0)</f>
        <v>Lib</v>
      </c>
      <c r="J993" t="str">
        <f>_xlfn.XLOOKUP(D993,products!$A$1:$A$49,products!$C$1:$C$49,,0)</f>
        <v>D</v>
      </c>
      <c r="K993" s="7">
        <f>_xlfn.XLOOKUP(D993,products!$A$1:$A$49,products!$D$1:$D$49,,0)</f>
        <v>0.5</v>
      </c>
      <c r="L993" s="9">
        <f>_xlfn.XLOOKUP(D993,products!$A$1:$A$49,products!$E$1:$E$49,,0)</f>
        <v>7.77</v>
      </c>
      <c r="M993" s="9">
        <f t="shared" si="15"/>
        <v>15.54</v>
      </c>
      <c r="N993" s="3" t="str" cm="1">
        <f t="array" ref="N993">_xlfn.SWITCH(I993,
"Rob","Robusta",
"Exc","Excelsa",
"Ara","Arabica",
"Lib","Liberica",
"")</f>
        <v>Liberica</v>
      </c>
      <c r="O993" t="str" cm="1">
        <f t="array" ref="O993">_xlfn.SWITCH(J993,
"M","Medium",
"L","Light",
"D","Dark",
"")</f>
        <v>Dark</v>
      </c>
      <c r="P993" t="str">
        <f>_xlfn.XLOOKUP(Orders[[#This Row],[Customer ID]],customers!$A$1:$A$1001,customers!$I$1:$I$1001,,0)</f>
        <v>No</v>
      </c>
    </row>
    <row r="994" spans="1:16" x14ac:dyDescent="0.35">
      <c r="A994" s="2" t="s">
        <v>6096</v>
      </c>
      <c r="B994" s="4">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_xlfn.XLOOKUP(D994,products!$A$1:$A$49,products!$B$1:$B$49,,0)</f>
        <v>Lib</v>
      </c>
      <c r="J994" t="str">
        <f>_xlfn.XLOOKUP(D994,products!$A$1:$A$49,products!$C$1:$C$49,,0)</f>
        <v>L</v>
      </c>
      <c r="K994" s="7">
        <f>_xlfn.XLOOKUP(D994,products!$A$1:$A$49,products!$D$1:$D$49,,0)</f>
        <v>2.5</v>
      </c>
      <c r="L994" s="9">
        <f>_xlfn.XLOOKUP(D994,products!$A$1:$A$49,products!$E$1:$E$49,,0)</f>
        <v>36.454999999999998</v>
      </c>
      <c r="M994" s="9">
        <f t="shared" si="15"/>
        <v>109.36499999999999</v>
      </c>
      <c r="N994" s="3" t="str" cm="1">
        <f t="array" ref="N994">_xlfn.SWITCH(I994,
"Rob","Robusta",
"Exc","Excelsa",
"Ara","Arabica",
"Lib","Liberica",
"")</f>
        <v>Liberica</v>
      </c>
      <c r="O994" t="str" cm="1">
        <f t="array" ref="O994">_xlfn.SWITCH(J994,
"M","Medium",
"L","Light",
"D","Dark",
"")</f>
        <v>Light</v>
      </c>
      <c r="P994" t="str">
        <f>_xlfn.XLOOKUP(Orders[[#This Row],[Customer ID]],customers!$A$1:$A$1001,customers!$I$1:$I$1001,,0)</f>
        <v>No</v>
      </c>
    </row>
    <row r="995" spans="1:16" x14ac:dyDescent="0.35">
      <c r="A995" s="2" t="s">
        <v>6101</v>
      </c>
      <c r="B995" s="4">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_xlfn.XLOOKUP(D995,products!$A$1:$A$49,products!$B$1:$B$49,,0)</f>
        <v>Ara</v>
      </c>
      <c r="J995" t="str">
        <f>_xlfn.XLOOKUP(D995,products!$A$1:$A$49,products!$C$1:$C$49,,0)</f>
        <v>L</v>
      </c>
      <c r="K995" s="7">
        <f>_xlfn.XLOOKUP(D995,products!$A$1:$A$49,products!$D$1:$D$49,,0)</f>
        <v>1</v>
      </c>
      <c r="L995" s="9">
        <f>_xlfn.XLOOKUP(D995,products!$A$1:$A$49,products!$E$1:$E$49,,0)</f>
        <v>12.95</v>
      </c>
      <c r="M995" s="9">
        <f t="shared" si="15"/>
        <v>77.699999999999989</v>
      </c>
      <c r="N995" s="3" t="str" cm="1">
        <f t="array" ref="N995">_xlfn.SWITCH(I995,
"Rob","Robusta",
"Exc","Excelsa",
"Ara","Arabica",
"Lib","Liberica",
"")</f>
        <v>Arabica</v>
      </c>
      <c r="O995" t="str" cm="1">
        <f t="array" ref="O995">_xlfn.SWITCH(J995,
"M","Medium",
"L","Light",
"D","Dark",
"")</f>
        <v>Light</v>
      </c>
      <c r="P995" t="str">
        <f>_xlfn.XLOOKUP(Orders[[#This Row],[Customer ID]],customers!$A$1:$A$1001,customers!$I$1:$I$1001,,0)</f>
        <v>No</v>
      </c>
    </row>
    <row r="996" spans="1:16" x14ac:dyDescent="0.35">
      <c r="A996" s="2" t="s">
        <v>6106</v>
      </c>
      <c r="B996" s="4">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_xlfn.XLOOKUP(D996,products!$A$1:$A$49,products!$B$1:$B$49,,0)</f>
        <v>Ara</v>
      </c>
      <c r="J996" t="str">
        <f>_xlfn.XLOOKUP(D996,products!$A$1:$A$49,products!$C$1:$C$49,,0)</f>
        <v>D</v>
      </c>
      <c r="K996" s="7">
        <f>_xlfn.XLOOKUP(D996,products!$A$1:$A$49,products!$D$1:$D$49,,0)</f>
        <v>0.2</v>
      </c>
      <c r="L996" s="9">
        <f>_xlfn.XLOOKUP(D996,products!$A$1:$A$49,products!$E$1:$E$49,,0)</f>
        <v>2.9849999999999999</v>
      </c>
      <c r="M996" s="9">
        <f t="shared" si="15"/>
        <v>8.9550000000000001</v>
      </c>
      <c r="N996" s="3" t="str" cm="1">
        <f t="array" ref="N996">_xlfn.SWITCH(I996,
"Rob","Robusta",
"Exc","Excelsa",
"Ara","Arabica",
"Lib","Liberica",
"")</f>
        <v>Arabica</v>
      </c>
      <c r="O996" t="str" cm="1">
        <f t="array" ref="O996">_xlfn.SWITCH(J996,
"M","Medium",
"L","Light",
"D","Dark",
"")</f>
        <v>Dark</v>
      </c>
      <c r="P996" t="str">
        <f>_xlfn.XLOOKUP(Orders[[#This Row],[Customer ID]],customers!$A$1:$A$1001,customers!$I$1:$I$1001,,0)</f>
        <v>No</v>
      </c>
    </row>
    <row r="997" spans="1:16" x14ac:dyDescent="0.35">
      <c r="A997" s="2" t="s">
        <v>6111</v>
      </c>
      <c r="B997" s="4">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_xlfn.XLOOKUP(D997,products!$A$1:$A$49,products!$B$1:$B$49,,0)</f>
        <v>Rob</v>
      </c>
      <c r="J997" t="str">
        <f>_xlfn.XLOOKUP(D997,products!$A$1:$A$49,products!$C$1:$C$49,,0)</f>
        <v>L</v>
      </c>
      <c r="K997" s="7">
        <f>_xlfn.XLOOKUP(D997,products!$A$1:$A$49,products!$D$1:$D$49,,0)</f>
        <v>2.5</v>
      </c>
      <c r="L997" s="9">
        <f>_xlfn.XLOOKUP(D997,products!$A$1:$A$49,products!$E$1:$E$49,,0)</f>
        <v>27.484999999999996</v>
      </c>
      <c r="M997" s="9">
        <f t="shared" si="15"/>
        <v>27.484999999999996</v>
      </c>
      <c r="N997" s="3" t="str" cm="1">
        <f t="array" ref="N997">_xlfn.SWITCH(I997,
"Rob","Robusta",
"Exc","Excelsa",
"Ara","Arabica",
"Lib","Liberica",
"")</f>
        <v>Robusta</v>
      </c>
      <c r="O997" t="str" cm="1">
        <f t="array" ref="O997">_xlfn.SWITCH(J997,
"M","Medium",
"L","Light",
"D","Dark",
"")</f>
        <v>Light</v>
      </c>
      <c r="P997" t="str">
        <f>_xlfn.XLOOKUP(Orders[[#This Row],[Customer ID]],customers!$A$1:$A$1001,customers!$I$1:$I$1001,,0)</f>
        <v>No</v>
      </c>
    </row>
    <row r="998" spans="1:16" x14ac:dyDescent="0.35">
      <c r="A998" s="2" t="s">
        <v>6117</v>
      </c>
      <c r="B998" s="4">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_xlfn.XLOOKUP(D998,products!$A$1:$A$49,products!$B$1:$B$49,,0)</f>
        <v>Rob</v>
      </c>
      <c r="J998" t="str">
        <f>_xlfn.XLOOKUP(D998,products!$A$1:$A$49,products!$C$1:$C$49,,0)</f>
        <v>M</v>
      </c>
      <c r="K998" s="7">
        <f>_xlfn.XLOOKUP(D998,products!$A$1:$A$49,products!$D$1:$D$49,,0)</f>
        <v>0.5</v>
      </c>
      <c r="L998" s="9">
        <f>_xlfn.XLOOKUP(D998,products!$A$1:$A$49,products!$E$1:$E$49,,0)</f>
        <v>5.97</v>
      </c>
      <c r="M998" s="9">
        <f t="shared" si="15"/>
        <v>29.849999999999998</v>
      </c>
      <c r="N998" s="3" t="str" cm="1">
        <f t="array" ref="N998">_xlfn.SWITCH(I998,
"Rob","Robusta",
"Exc","Excelsa",
"Ara","Arabica",
"Lib","Liberica",
"")</f>
        <v>Robusta</v>
      </c>
      <c r="O998" t="str" cm="1">
        <f t="array" ref="O998">_xlfn.SWITCH(J998,
"M","Medium",
"L","Light",
"D","Dark",
"")</f>
        <v>Medium</v>
      </c>
      <c r="P998" t="str">
        <f>_xlfn.XLOOKUP(Orders[[#This Row],[Customer ID]],customers!$A$1:$A$1001,customers!$I$1:$I$1001,,0)</f>
        <v>No</v>
      </c>
    </row>
    <row r="999" spans="1:16" x14ac:dyDescent="0.35">
      <c r="A999" s="2" t="s">
        <v>6122</v>
      </c>
      <c r="B999" s="4">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_xlfn.XLOOKUP(D999,products!$A$1:$A$49,products!$B$1:$B$49,,0)</f>
        <v>Ara</v>
      </c>
      <c r="J999" t="str">
        <f>_xlfn.XLOOKUP(D999,products!$A$1:$A$49,products!$C$1:$C$49,,0)</f>
        <v>M</v>
      </c>
      <c r="K999" s="7">
        <f>_xlfn.XLOOKUP(D999,products!$A$1:$A$49,products!$D$1:$D$49,,0)</f>
        <v>0.5</v>
      </c>
      <c r="L999" s="9">
        <f>_xlfn.XLOOKUP(D999,products!$A$1:$A$49,products!$E$1:$E$49,,0)</f>
        <v>6.75</v>
      </c>
      <c r="M999" s="9">
        <f t="shared" si="15"/>
        <v>27</v>
      </c>
      <c r="N999" s="3" t="str" cm="1">
        <f t="array" ref="N999">_xlfn.SWITCH(I999,
"Rob","Robusta",
"Exc","Excelsa",
"Ara","Arabica",
"Lib","Liberica",
"")</f>
        <v>Arabica</v>
      </c>
      <c r="O999" t="str" cm="1">
        <f t="array" ref="O999">_xlfn.SWITCH(J999,
"M","Medium",
"L","Light",
"D","Dark",
"")</f>
        <v>Medium</v>
      </c>
      <c r="P999" t="str">
        <f>_xlfn.XLOOKUP(Orders[[#This Row],[Customer ID]],customers!$A$1:$A$1001,customers!$I$1:$I$1001,,0)</f>
        <v>No</v>
      </c>
    </row>
    <row r="1000" spans="1:16" x14ac:dyDescent="0.35">
      <c r="A1000" s="2" t="s">
        <v>6127</v>
      </c>
      <c r="B1000" s="4">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_xlfn.XLOOKUP(D1000,products!$A$1:$A$49,products!$B$1:$B$49,,0)</f>
        <v>Ara</v>
      </c>
      <c r="J1000" t="str">
        <f>_xlfn.XLOOKUP(D1000,products!$A$1:$A$49,products!$C$1:$C$49,,0)</f>
        <v>D</v>
      </c>
      <c r="K1000" s="7">
        <f>_xlfn.XLOOKUP(D1000,products!$A$1:$A$49,products!$D$1:$D$49,,0)</f>
        <v>1</v>
      </c>
      <c r="L1000" s="9">
        <f>_xlfn.XLOOKUP(D1000,products!$A$1:$A$49,products!$E$1:$E$49,,0)</f>
        <v>9.9499999999999993</v>
      </c>
      <c r="M1000" s="9">
        <f t="shared" si="15"/>
        <v>9.9499999999999993</v>
      </c>
      <c r="N1000" s="3" t="str" cm="1">
        <f t="array" ref="N1000">_xlfn.SWITCH(I1000,
"Rob","Robusta",
"Exc","Excelsa",
"Ara","Arabica",
"Lib","Liberica",
"")</f>
        <v>Arabica</v>
      </c>
      <c r="O1000" t="str" cm="1">
        <f t="array" ref="O1000">_xlfn.SWITCH(J1000,
"M","Medium",
"L","Light",
"D","Dark",
"")</f>
        <v>Dark</v>
      </c>
      <c r="P1000" t="str">
        <f>_xlfn.XLOOKUP(Orders[[#This Row],[Customer ID]],customers!$A$1:$A$1001,customers!$I$1:$I$1001,,0)</f>
        <v>No</v>
      </c>
    </row>
    <row r="1001" spans="1:16" x14ac:dyDescent="0.35">
      <c r="A1001" s="2" t="s">
        <v>6133</v>
      </c>
      <c r="B1001" s="4">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_xlfn.XLOOKUP(D1001,products!$A$1:$A$49,products!$B$1:$B$49,,0)</f>
        <v>Exc</v>
      </c>
      <c r="J1001" t="str">
        <f>_xlfn.XLOOKUP(D1001,products!$A$1:$A$49,products!$C$1:$C$49,,0)</f>
        <v>M</v>
      </c>
      <c r="K1001" s="7">
        <f>_xlfn.XLOOKUP(D1001,products!$A$1:$A$49,products!$D$1:$D$49,,0)</f>
        <v>0.2</v>
      </c>
      <c r="L1001" s="9">
        <f>_xlfn.XLOOKUP(D1001,products!$A$1:$A$49,products!$E$1:$E$49,,0)</f>
        <v>4.125</v>
      </c>
      <c r="M1001" s="9">
        <f t="shared" si="15"/>
        <v>12.375</v>
      </c>
      <c r="N1001" s="3" t="str" cm="1">
        <f t="array" ref="N1001">_xlfn.SWITCH(I1001,
"Rob","Robusta",
"Exc","Excelsa",
"Ara","Arabica",
"Lib","Liberica",
"")</f>
        <v>Excelsa</v>
      </c>
      <c r="O1001" t="str" cm="1">
        <f t="array" ref="O1001">_xlfn.SWITCH(J1001,
"M","Medium",
"L","Light",
"D","Dark",
"")</f>
        <v>Medium</v>
      </c>
      <c r="P1001" t="str">
        <f>_xlfn.XLOOKUP(Orders[[#This Row],[Customer ID]],customers!$A$1:$A$1001,customers!$I$1:$I$1001,,0)</f>
        <v>Yes</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83"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opLeftCell="A31"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PivotTables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 Spectre</dc:creator>
  <cp:keywords/>
  <dc:description/>
  <cp:lastModifiedBy>Samira Abdulrahman Sarani</cp:lastModifiedBy>
  <cp:revision/>
  <dcterms:created xsi:type="dcterms:W3CDTF">2022-11-26T09:51:45Z</dcterms:created>
  <dcterms:modified xsi:type="dcterms:W3CDTF">2026-01-15T11:30:56Z</dcterms:modified>
  <cp:category/>
  <cp:contentStatus/>
</cp:coreProperties>
</file>